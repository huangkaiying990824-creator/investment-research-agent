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80" activeTab="4"/>
  </bookViews>
  <sheets>
    <sheet name="目录" sheetId="9" r:id="rId1"/>
    <sheet name="1、基础资质" sheetId="1" r:id="rId2"/>
    <sheet name="2、体系认证" sheetId="7" r:id="rId3"/>
    <sheet name="3、产品认证与检测报告" sheetId="5" r:id="rId4"/>
    <sheet name="5、专利" sheetId="10" r:id="rId5"/>
  </sheets>
  <definedNames>
    <definedName name="_xlnm._FilterDatabase" localSheetId="1" hidden="1">'1、基础资质'!$A$1:$H$6</definedName>
    <definedName name="_xlnm._FilterDatabase" localSheetId="2" hidden="1">'2、体系认证'!$A$1:$I$6</definedName>
    <definedName name="_xlnm._FilterDatabase" localSheetId="3" hidden="1">'3、产品认证与检测报告'!$A$1:$K$7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<sst xmlns="http://schemas.openxmlformats.org/spreadsheetml/2006/main" count="153" uniqueCount="109">
  <si>
    <t>广东世炬智通科技有限公司（目录）</t>
  </si>
  <si>
    <t>序号</t>
  </si>
  <si>
    <t>资质类别</t>
  </si>
  <si>
    <t>存放位置</t>
  </si>
  <si>
    <t>基础资质</t>
  </si>
  <si>
    <t>:\公司基本信息\3、世炬智通\1、基础资质</t>
  </si>
  <si>
    <t>体系认证</t>
  </si>
  <si>
    <t>:\公司基本信息\3、世炬智通\2、体系认证</t>
  </si>
  <si>
    <t>产品认证与检测报告</t>
  </si>
  <si>
    <t>:\公司基本信息\3、世炬智通\3、产品认证与检测报告</t>
  </si>
  <si>
    <t>其他-投标专用</t>
  </si>
  <si>
    <t>:\公司基本信息\3、世炬智通\4、其他-投标专用</t>
  </si>
  <si>
    <t>证明材料名称</t>
  </si>
  <si>
    <t>颁发单位</t>
  </si>
  <si>
    <t>证书编号</t>
  </si>
  <si>
    <t>有效期</t>
  </si>
  <si>
    <t>备注</t>
  </si>
  <si>
    <t>状态</t>
  </si>
  <si>
    <t>办理部门</t>
  </si>
  <si>
    <t>原件存档部门/位置</t>
  </si>
  <si>
    <t>营业执照（正/副本）</t>
  </si>
  <si>
    <t>广州市黄埔区市场监督管理局</t>
  </si>
  <si>
    <t>91440112MACOA5HF88</t>
  </si>
  <si>
    <t>至</t>
  </si>
  <si>
    <t>长期</t>
  </si>
  <si>
    <t>注册资本：3000万元
类型：其他有限责任公司</t>
  </si>
  <si>
    <t>财务部</t>
  </si>
  <si>
    <t>基本存款账户信息</t>
  </si>
  <si>
    <t>招商银行股份有限公司广州体育东路支行</t>
  </si>
  <si>
    <t>J5810266228701</t>
  </si>
  <si>
    <t>2022-22-8</t>
  </si>
  <si>
    <t>一般纳税人资格查询证明（网站截图）</t>
  </si>
  <si>
    <t>国家税务总局广东省电子税务局</t>
  </si>
  <si>
    <t>/</t>
  </si>
  <si>
    <t>安全生产许可证</t>
  </si>
  <si>
    <t>广东省信房和城乡建设厅</t>
  </si>
  <si>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粤</t>
    </r>
    <r>
      <rPr>
        <sz val="9"/>
        <color theme="1"/>
        <rFont val="Times New Roman"/>
        <charset val="134"/>
      </rPr>
      <t>)JZ</t>
    </r>
    <r>
      <rPr>
        <sz val="9"/>
        <color theme="1"/>
        <rFont val="宋体"/>
        <charset val="134"/>
      </rPr>
      <t>安许证字</t>
    </r>
    <r>
      <rPr>
        <sz val="9"/>
        <color theme="1"/>
        <rFont val="Times New Roman"/>
        <charset val="134"/>
      </rPr>
      <t>[2024]006577</t>
    </r>
  </si>
  <si>
    <t>质量部</t>
  </si>
  <si>
    <t>建筑业企业资质证书</t>
  </si>
  <si>
    <t>广州市住房和城乡建设局</t>
  </si>
  <si>
    <t>DL344405681</t>
  </si>
  <si>
    <t>施工劳务不分等级</t>
  </si>
  <si>
    <t>认证体系</t>
  </si>
  <si>
    <t>资质名称</t>
  </si>
  <si>
    <t>颁发机构</t>
  </si>
  <si>
    <r>
      <rPr>
        <sz val="9"/>
        <color rgb="FF000000"/>
        <rFont val="宋体"/>
        <charset val="134"/>
        <scheme val="minor"/>
      </rPr>
      <t>GB/T 27922-2011</t>
    </r>
    <r>
      <rPr>
        <sz val="10.5"/>
        <color rgb="FF333333"/>
        <rFont val="宋体"/>
        <charset val="134"/>
      </rPr>
      <t>《商品售后服务评价体系》</t>
    </r>
  </si>
  <si>
    <t>售后服务管理体系证书</t>
  </si>
  <si>
    <t>兴原认证中心有限公司</t>
  </si>
  <si>
    <t>0350124SS10003R0S</t>
  </si>
  <si>
    <t>五星级；
该管理体系适用于基站设备及板卡的生产和销售。</t>
  </si>
  <si>
    <t>GB/T 37422-2019《绿色包装评价方法与准则》、
ZLDS-111《绿色包装认证规则》标准要求</t>
  </si>
  <si>
    <t>绿色包装认证证书</t>
  </si>
  <si>
    <t>广东中联鼎盛认证有限公司</t>
  </si>
  <si>
    <t>ZLDS23GPE001R0S</t>
  </si>
  <si>
    <t>认证范围：无线通信类产品、4/5G 扩展型皮基站；基站、直放站类设备及板卡的生产和销售所涉及的绿色包装管理活动（Ⅲ-G）。</t>
  </si>
  <si>
    <t>GB/T 36132-2018《绿色工厂评价通则》、
ZLDS-97《绿色环保企业资质认证规则》标准要求</t>
  </si>
  <si>
    <t>绿色环保企业资质认证证书</t>
  </si>
  <si>
    <t>ZLDS23GQP001R0S</t>
  </si>
  <si>
    <t>认证范围：无线通信类产品、4/5G 扩展型皮基站；基站、直放站类设备及板卡的生产和销售所涉及的绿色低碳企业管理活动（AAAAA 级）。</t>
  </si>
  <si>
    <t>T/ CGDF 00028-2022《绿色企业评价标准》、
ZLDS-112《绿色低碳企业认证规则》标准要求</t>
  </si>
  <si>
    <t>绿色低碳企业认证证书</t>
  </si>
  <si>
    <t>ZLDS23GLC001R0S</t>
  </si>
  <si>
    <t>ISO/IEC 27001:2022 标准</t>
  </si>
  <si>
    <t>信息安全管理体系认证证书</t>
  </si>
  <si>
    <t>0350124IS31130R0S</t>
  </si>
  <si>
    <t>证书覆盖的范围 与基站设备及板卡的生产、销售及运维服务相关的信息安全管理活动；《适用性声明》（版本号：V1.0）（边界：广东省广州市黄埔
区光谱西路65号201房）</t>
  </si>
  <si>
    <t>证书名称</t>
  </si>
  <si>
    <t>产品名称</t>
  </si>
  <si>
    <t>型号</t>
  </si>
  <si>
    <t>内容</t>
  </si>
  <si>
    <t>编号</t>
  </si>
  <si>
    <t>委托检验报告</t>
  </si>
  <si>
    <r>
      <rPr>
        <sz val="9"/>
        <color theme="1"/>
        <rFont val="Times New Roman"/>
        <charset val="134"/>
      </rPr>
      <t xml:space="preserve">LTE FDD/5G </t>
    </r>
    <r>
      <rPr>
        <sz val="9"/>
        <color theme="1"/>
        <rFont val="宋体"/>
        <charset val="134"/>
      </rPr>
      <t>基站</t>
    </r>
  </si>
  <si>
    <t>pRRU 5416B</t>
  </si>
  <si>
    <t>受中国移动通信集团设计院有限公司委托，依据 YD/T 2574-2017《LTE FDD 数字蜂窝移动通信网基站设备测试方法（第一阶段）》等相关标准及委托方要求，对广东世炬智通科技有限公司生产的 pRRU 5416B 型 LTE FDD/5G 基站进行测试，测试结果见检验结果。</t>
  </si>
  <si>
    <t>10-24-WT010</t>
  </si>
  <si>
    <t>信息产业无线通信产品质量监督检验中心；
西安通和电信设备检测有限公司</t>
  </si>
  <si>
    <r>
      <rPr>
        <sz val="9"/>
        <color theme="1"/>
        <rFont val="Times New Roman"/>
        <charset val="134"/>
      </rPr>
      <t xml:space="preserve">MoFang </t>
    </r>
    <r>
      <rPr>
        <sz val="9"/>
        <color theme="1"/>
        <rFont val="宋体"/>
        <charset val="134"/>
      </rPr>
      <t>墨方微型计算机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墨方</t>
    </r>
    <r>
      <rPr>
        <sz val="9"/>
        <color theme="1"/>
        <rFont val="Times New Roman"/>
        <charset val="134"/>
      </rPr>
      <t>M01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输入：</t>
    </r>
    <r>
      <rPr>
        <sz val="9"/>
        <color theme="1"/>
        <rFont val="Times New Roman"/>
        <charset val="134"/>
      </rPr>
      <t>19.5VDC14A</t>
    </r>
    <r>
      <rPr>
        <sz val="9"/>
        <color theme="1"/>
        <rFont val="宋体"/>
        <charset val="134"/>
      </rPr>
      <t>（不带电源适配器销售）</t>
    </r>
  </si>
  <si>
    <t>中国国家强制性产品认证证书</t>
  </si>
  <si>
    <t>2026160901896324</t>
  </si>
  <si>
    <t>中国网络安全审查认证和市场监管大数据中心</t>
  </si>
  <si>
    <t>20231-4-6</t>
  </si>
  <si>
    <t>发明名称</t>
  </si>
  <si>
    <t>专利类型</t>
  </si>
  <si>
    <t>法律状态</t>
  </si>
  <si>
    <t>申请号</t>
  </si>
  <si>
    <t>申请日期</t>
  </si>
  <si>
    <t>公开(公告)号</t>
  </si>
  <si>
    <t>公开(公告)日期</t>
  </si>
  <si>
    <t>发明人</t>
  </si>
  <si>
    <t>专利属性分类</t>
  </si>
  <si>
    <t>双工模式</t>
  </si>
  <si>
    <t>是否有证</t>
  </si>
  <si>
    <t>部署于Linux物理机的基站系统</t>
  </si>
  <si>
    <t>发明授权</t>
  </si>
  <si>
    <t>授权</t>
  </si>
  <si>
    <t>CN202310053495.3</t>
  </si>
  <si>
    <t>CN115801531B</t>
  </si>
  <si>
    <t>金春光、许晓强</t>
  </si>
  <si>
    <t>协议栈</t>
  </si>
  <si>
    <t>有</t>
  </si>
  <si>
    <t>一种5G扩展皮基站的节能方法及装置</t>
  </si>
  <si>
    <t>CN202310442804.6</t>
  </si>
  <si>
    <t>CN116193550B</t>
  </si>
  <si>
    <t>林力、陈瑞欣、宋怡昕、林金海、余冠彬、曾振兴</t>
  </si>
  <si>
    <t>基于链路干扰的节点连接配置方法及装置</t>
  </si>
  <si>
    <t>CN202310294136.7</t>
  </si>
  <si>
    <t>CN116017516B</t>
  </si>
  <si>
    <t>邓勇志、范善翔、杨子炫、陈瑞欣、李海方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</si>
</sst>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2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u/>
      <sz val="9"/>
      <color rgb="FF0000FF"/>
      <name val="宋体"/>
      <charset val="134"/>
    </font>
    <font>
      <b/>
      <sz val="9"/>
      <color rgb="FF333333"/>
      <name val="宋体"/>
      <charset val="134"/>
    </font>
    <font>
      <sz val="9"/>
      <color theme="1"/>
      <name val="宋体"/>
      <charset val="134"/>
    </font>
    <font>
      <sz val="9"/>
      <color rgb="FF333333"/>
      <name val="宋体"/>
      <charset val="134"/>
    </font>
    <font>
      <sz val="9"/>
      <color rgb="FF00AD65"/>
      <name val="宋体"/>
      <charset val="134"/>
    </font>
    <font>
      <b/>
      <sz val="9"/>
      <name val="宋体"/>
      <charset val="134"/>
    </font>
    <font>
      <sz val="9"/>
      <color theme="1"/>
      <name val="Times New Roman"/>
      <charset val="134"/>
    </font>
    <font>
      <u/>
      <sz val="9"/>
      <color rgb="FF0000FF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Times New Roman"/>
      <charset val="134"/>
    </font>
    <font>
      <b/>
      <sz val="9"/>
      <color theme="1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9"/>
      <color rgb="FF80008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333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4" applyNumberFormat="0" applyAlignment="0" applyProtection="0">
      <alignment vertical="center"/>
    </xf>
    <xf numFmtId="0" fontId="31" fillId="9" borderId="5" applyNumberFormat="0" applyAlignment="0" applyProtection="0">
      <alignment vertical="center"/>
    </xf>
    <xf numFmtId="0" fontId="32" fillId="9" borderId="4" applyNumberFormat="0" applyAlignment="0" applyProtection="0">
      <alignment vertical="center"/>
    </xf>
    <xf numFmtId="0" fontId="33" fillId="10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6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6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76" fontId="11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 wrapText="1"/>
    </xf>
    <xf numFmtId="0" fontId="14" fillId="0" borderId="0" xfId="0" applyFont="1">
      <alignment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3" borderId="0" xfId="6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6" fontId="16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9" fillId="0" borderId="0" xfId="6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76" fontId="18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176" fontId="18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76" fontId="1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21" fillId="0" borderId="0" xfId="6">
      <alignment vertical="center"/>
    </xf>
    <xf numFmtId="0" fontId="22" fillId="0" borderId="0" xfId="6" applyFont="1" applyAlignment="1">
      <alignment horizontal="center" vertical="center"/>
    </xf>
    <xf numFmtId="0" fontId="8" fillId="0" borderId="0" xfId="0" applyFont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strike val="1"/>
      </font>
      <fill>
        <patternFill patternType="solid">
          <bgColor theme="0" tint="-0.14996795556505"/>
        </patternFill>
      </fill>
    </dxf>
    <dxf>
      <font>
        <strike val="1"/>
      </font>
      <fill>
        <patternFill patternType="solid">
          <bgColor theme="0" tint="-0.249977111117893"/>
        </patternFill>
      </fill>
    </dxf>
    <dxf>
      <font>
        <b val="1"/>
        <i val="0"/>
      </font>
      <fill>
        <patternFill patternType="solid">
          <bgColor theme="5" tint="0.799981688894314"/>
        </patternFill>
      </fill>
    </dxf>
    <dxf>
      <font>
        <strike val="1"/>
      </font>
      <fill>
        <patternFill patternType="solid">
          <bgColor theme="2" tint="-0.0999786370433668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3&#12289;&#20855;&#33455;&#31185;&#25216;&#65288;&#19990;&#28844;&#26234;&#36890;&#65289;\4&#12289;&#20854;&#20182;-&#25237;&#26631;&#19987;&#29992;" TargetMode="External"/><Relationship Id="rId3" Type="http://schemas.openxmlformats.org/officeDocument/2006/relationships/hyperlink" Target="3&#12289;&#20855;&#33455;&#31185;&#25216;&#65288;&#19990;&#28844;&#26234;&#36890;&#65289;\3&#12289;&#20135;&#21697;&#35748;&#35777;&#19982;&#26816;&#27979;&#25253;&#21578;" TargetMode="External"/><Relationship Id="rId2" Type="http://schemas.openxmlformats.org/officeDocument/2006/relationships/hyperlink" Target="3&#12289;&#20855;&#33455;&#31185;&#25216;&#65288;&#19990;&#28844;&#26234;&#36890;&#65289;\2&#12289;&#20307;&#31995;&#35748;&#35777;" TargetMode="External"/><Relationship Id="rId1" Type="http://schemas.openxmlformats.org/officeDocument/2006/relationships/hyperlink" Target="3&#12289;&#20855;&#33455;&#31185;&#25216;&#65288;&#19990;&#28844;&#26234;&#36890;&#65289;\1&#12289;&#22522;&#30784;&#36164;&#3613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6"/>
  <sheetViews>
    <sheetView workbookViewId="0">
      <selection activeCell="C6" sqref="C6"/>
    </sheetView>
  </sheetViews>
  <sheetFormatPr defaultColWidth="9" defaultRowHeight="12" outlineLevelRow="5" outlineLevelCol="2"/>
  <cols>
    <col min="1" max="1" width="8.63636363636364" style="4" customWidth="1"/>
    <col min="2" max="2" width="25.3636363636364" style="4" customWidth="1"/>
    <col min="3" max="3" width="65.6363636363636" style="11" customWidth="1"/>
    <col min="4" max="16384" width="9" style="11"/>
  </cols>
  <sheetData>
    <row r="1" s="60" customFormat="1" ht="27" customHeight="1" spans="1:3">
      <c r="A1" s="61" t="s">
        <v>0</v>
      </c>
      <c r="B1" s="61"/>
      <c r="C1" s="61"/>
    </row>
    <row r="2" ht="21" customHeight="1" spans="1:3">
      <c r="A2" s="62" t="s">
        <v>1</v>
      </c>
      <c r="B2" s="62" t="s">
        <v>2</v>
      </c>
      <c r="C2" s="62" t="s">
        <v>3</v>
      </c>
    </row>
    <row r="3" ht="21" customHeight="1" spans="1:3">
      <c r="A3" s="4">
        <v>1</v>
      </c>
      <c r="B3" s="63" t="s">
        <v>4</v>
      </c>
      <c r="C3" s="64" t="s">
        <v>5</v>
      </c>
    </row>
    <row r="4" ht="21" customHeight="1" spans="1:3">
      <c r="A4" s="4">
        <v>2</v>
      </c>
      <c r="B4" s="63" t="s">
        <v>6</v>
      </c>
      <c r="C4" s="64" t="s">
        <v>7</v>
      </c>
    </row>
    <row r="5" ht="21" customHeight="1" spans="1:3">
      <c r="A5" s="4">
        <v>3</v>
      </c>
      <c r="B5" s="65" t="s">
        <v>8</v>
      </c>
      <c r="C5" s="64" t="s">
        <v>9</v>
      </c>
    </row>
    <row r="6" ht="21" customHeight="1" spans="1:3">
      <c r="A6" s="4">
        <v>4</v>
      </c>
      <c r="B6" s="65" t="s">
        <v>10</v>
      </c>
      <c r="C6" s="64" t="s">
        <v>11</v>
      </c>
    </row>
  </sheetData>
  <mergeCells count="1">
    <mergeCell ref="A1:C1"/>
  </mergeCells>
  <hyperlinks>
    <hyperlink ref="B3" location="'1、基础资质'!A1" display="基础资质"/>
    <hyperlink ref="B4" location="'2、体系认证'!A1" display="体系认证"/>
    <hyperlink ref="B5" location="'3、产品认证与检测报告'!A1" display="产品认证与检测报告"/>
    <hyperlink ref="B6" location="'4、其他-投标专用'!A1" display="其他-投标专用"/>
    <hyperlink ref="C3" r:id="rId1" display=":\公司基本信息\3、世炬智通\1、基础资质"/>
    <hyperlink ref="C4" r:id="rId2" display=":\公司基本信息\3、世炬智通\2、体系认证"/>
    <hyperlink ref="C5" r:id="rId3" display=":\公司基本信息\3、世炬智通\3、产品认证与检测报告"/>
    <hyperlink ref="C6" r:id="rId4" display=":\公司基本信息\3、世炬智通\4、其他-投标专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8"/>
  <sheetViews>
    <sheetView workbookViewId="0">
      <pane ySplit="1" topLeftCell="A2" activePane="bottomLeft" state="frozen"/>
      <selection/>
      <selection pane="bottomLeft" activeCell="A2" sqref="A2:A6"/>
    </sheetView>
  </sheetViews>
  <sheetFormatPr defaultColWidth="9" defaultRowHeight="21" customHeight="1" outlineLevelRow="7"/>
  <cols>
    <col min="1" max="1" width="5.63636363636364" style="13" customWidth="1"/>
    <col min="2" max="2" width="27.9090909090909" style="39" customWidth="1"/>
    <col min="3" max="3" width="31.2636363636364" style="21" customWidth="1"/>
    <col min="4" max="4" width="15.9090909090909" style="19" customWidth="1"/>
    <col min="5" max="5" width="10.0909090909091" style="15"/>
    <col min="6" max="6" width="3.45454545454545" style="13" customWidth="1"/>
    <col min="7" max="7" width="11.2636363636364" style="15"/>
    <col min="8" max="9" width="19.0909090909091" style="13" customWidth="1"/>
    <col min="10" max="10" width="9" style="40"/>
    <col min="11" max="11" width="15.7272727272727" style="40" customWidth="1"/>
    <col min="12" max="16384" width="9" style="13"/>
  </cols>
  <sheetData>
    <row r="1" customHeight="1" spans="1:11">
      <c r="A1" s="41" t="s">
        <v>1</v>
      </c>
      <c r="B1" s="42" t="s">
        <v>12</v>
      </c>
      <c r="C1" s="17" t="s">
        <v>13</v>
      </c>
      <c r="D1" s="17" t="s">
        <v>14</v>
      </c>
      <c r="E1" s="18" t="s">
        <v>15</v>
      </c>
      <c r="F1" s="23"/>
      <c r="G1" s="23"/>
      <c r="H1" s="17" t="s">
        <v>16</v>
      </c>
      <c r="I1" s="17" t="s">
        <v>17</v>
      </c>
      <c r="J1" s="57" t="s">
        <v>18</v>
      </c>
      <c r="K1" s="57" t="s">
        <v>19</v>
      </c>
    </row>
    <row r="2" s="37" customFormat="1" ht="30" customHeight="1" spans="1:11">
      <c r="A2" s="37">
        <v>1</v>
      </c>
      <c r="B2" s="43" t="s">
        <v>20</v>
      </c>
      <c r="C2" s="44" t="s">
        <v>21</v>
      </c>
      <c r="D2" s="45" t="s">
        <v>22</v>
      </c>
      <c r="E2" s="46">
        <v>44853</v>
      </c>
      <c r="F2" s="12" t="s">
        <v>23</v>
      </c>
      <c r="G2" s="47" t="s">
        <v>24</v>
      </c>
      <c r="H2" s="48" t="s">
        <v>25</v>
      </c>
      <c r="I2" s="48" t="str">
        <f ca="1">IF(G2="长期","有效",IF(G2-TODAY()&lt;0,"失效",IF(G2-TODAY()&gt;=20,"有效",IF(AND(G2-TODAY()&gt;0,G2-TODAY()&lt;20),"临期"))))</f>
        <v>有效</v>
      </c>
      <c r="J2" s="58" t="s">
        <v>26</v>
      </c>
      <c r="K2" s="58" t="s">
        <v>26</v>
      </c>
    </row>
    <row r="3" s="37" customFormat="1" ht="30" customHeight="1" spans="1:11">
      <c r="A3" s="37">
        <v>2</v>
      </c>
      <c r="B3" s="43" t="s">
        <v>27</v>
      </c>
      <c r="C3" s="44" t="s">
        <v>28</v>
      </c>
      <c r="D3" s="45" t="s">
        <v>29</v>
      </c>
      <c r="E3" s="46" t="s">
        <v>30</v>
      </c>
      <c r="F3" s="12" t="s">
        <v>23</v>
      </c>
      <c r="G3" s="47" t="s">
        <v>24</v>
      </c>
      <c r="I3" s="48" t="str">
        <f ca="1">IF(G3="长期","有效",IF(G3-TODAY()&lt;0,"失效",IF(G3-TODAY()&gt;=20,"有效",IF(AND(G3-TODAY()&gt;0,G3-TODAY()&lt;20),"临期"))))</f>
        <v>有效</v>
      </c>
      <c r="J3" s="58" t="s">
        <v>26</v>
      </c>
      <c r="K3" s="58" t="s">
        <v>26</v>
      </c>
    </row>
    <row r="4" s="37" customFormat="1" ht="30" customHeight="1" spans="1:11">
      <c r="A4" s="37">
        <v>3</v>
      </c>
      <c r="B4" s="43" t="s">
        <v>31</v>
      </c>
      <c r="C4" s="44" t="s">
        <v>32</v>
      </c>
      <c r="D4" s="45" t="s">
        <v>33</v>
      </c>
      <c r="E4" s="46">
        <v>44880</v>
      </c>
      <c r="F4" s="12" t="s">
        <v>23</v>
      </c>
      <c r="G4" s="47" t="s">
        <v>24</v>
      </c>
      <c r="H4" s="48"/>
      <c r="I4" s="48" t="str">
        <f ca="1">IF(G4="长期","有效",IF(G4-TODAY()&lt;0,"失效",IF(G4-TODAY()&gt;=20,"有效",IF(AND(G4-TODAY()&gt;0,G4-TODAY()&lt;20),"临期"))))</f>
        <v>有效</v>
      </c>
      <c r="J4" s="58" t="s">
        <v>26</v>
      </c>
      <c r="K4" s="58" t="s">
        <v>26</v>
      </c>
    </row>
    <row r="5" customHeight="1" spans="1:11">
      <c r="A5" s="37">
        <v>4</v>
      </c>
      <c r="B5" s="49" t="s">
        <v>34</v>
      </c>
      <c r="C5" s="20" t="s">
        <v>35</v>
      </c>
      <c r="D5" s="19" t="s">
        <v>36</v>
      </c>
      <c r="E5" s="46">
        <v>45632</v>
      </c>
      <c r="F5" s="48" t="s">
        <v>23</v>
      </c>
      <c r="G5" s="47">
        <v>46727</v>
      </c>
      <c r="I5" s="48" t="str">
        <f ca="1">IF(G5="长期","有效",IF(G5-TODAY()&lt;0,"失效",IF(G5-TODAY()&gt;=20,"有效",IF(AND(G5-TODAY()&gt;0,G5-TODAY()&lt;20),"临期"))))</f>
        <v>有效</v>
      </c>
      <c r="J5" s="59" t="s">
        <v>37</v>
      </c>
      <c r="K5" s="59" t="s">
        <v>37</v>
      </c>
    </row>
    <row r="6" s="38" customFormat="1" customHeight="1" spans="1:11">
      <c r="A6" s="37">
        <v>5</v>
      </c>
      <c r="B6" s="50" t="s">
        <v>38</v>
      </c>
      <c r="C6" s="51" t="s">
        <v>39</v>
      </c>
      <c r="D6" s="52" t="s">
        <v>40</v>
      </c>
      <c r="E6" s="53">
        <v>45594</v>
      </c>
      <c r="F6" s="54" t="s">
        <v>23</v>
      </c>
      <c r="G6" s="55">
        <v>47420</v>
      </c>
      <c r="H6" s="56" t="s">
        <v>41</v>
      </c>
      <c r="I6" s="54" t="str">
        <f ca="1">IF(G6="长期","有效",IF(G6-TODAY()&lt;0,"失效",IF(G6-TODAY()&gt;=20,"有效",IF(AND(G6-TODAY()&gt;0,G6-TODAY()&lt;20),"临期"))))</f>
        <v>有效</v>
      </c>
      <c r="J6" s="56" t="s">
        <v>37</v>
      </c>
      <c r="K6" s="56" t="s">
        <v>37</v>
      </c>
    </row>
    <row r="7" customHeight="1" spans="5:7">
      <c r="E7" s="46"/>
      <c r="F7" s="12"/>
      <c r="G7" s="47"/>
    </row>
    <row r="8" customHeight="1" spans="5:7">
      <c r="E8" s="46"/>
      <c r="F8" s="12"/>
      <c r="G8" s="47"/>
    </row>
  </sheetData>
  <autoFilter ref="A1:H6">
    <extLst/>
  </autoFilter>
  <mergeCells count="1">
    <mergeCell ref="E1:G1"/>
  </mergeCells>
  <conditionalFormatting sqref="$A1:$XFD6">
    <cfRule type="expression" dxfId="0" priority="1">
      <formula>$I1="失效"</formula>
    </cfRule>
  </conditionalFormatting>
  <hyperlinks>
    <hyperlink ref="A1" location="目录!A1" display="序号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6"/>
  <sheetViews>
    <sheetView workbookViewId="0">
      <pane ySplit="1" topLeftCell="A2" activePane="bottomLeft" state="frozen"/>
      <selection/>
      <selection pane="bottomLeft" activeCell="G9" sqref="G9"/>
    </sheetView>
  </sheetViews>
  <sheetFormatPr defaultColWidth="9" defaultRowHeight="21" customHeight="1" outlineLevelRow="5"/>
  <cols>
    <col min="1" max="1" width="6.63636363636364" style="25" customWidth="1"/>
    <col min="2" max="2" width="36.2636363636364" style="25" customWidth="1"/>
    <col min="3" max="3" width="27.6363636363636" style="25" customWidth="1"/>
    <col min="4" max="4" width="20.3636363636364" style="25" customWidth="1"/>
    <col min="5" max="5" width="15.9090909090909" style="25" customWidth="1"/>
    <col min="6" max="6" width="11.0909090909091" style="26" customWidth="1"/>
    <col min="7" max="7" width="4.63636363636364" style="27" customWidth="1"/>
    <col min="8" max="8" width="11.0909090909091" style="26" customWidth="1"/>
    <col min="9" max="10" width="13.4454545454545" style="25" customWidth="1"/>
    <col min="11" max="16384" width="9" style="25"/>
  </cols>
  <sheetData>
    <row r="1" customHeight="1" spans="1:10">
      <c r="A1" s="28" t="s">
        <v>1</v>
      </c>
      <c r="B1" s="29" t="s">
        <v>42</v>
      </c>
      <c r="C1" s="29" t="s">
        <v>43</v>
      </c>
      <c r="D1" s="29" t="s">
        <v>44</v>
      </c>
      <c r="E1" s="29" t="s">
        <v>14</v>
      </c>
      <c r="F1" s="30" t="s">
        <v>15</v>
      </c>
      <c r="G1" s="30"/>
      <c r="H1" s="30"/>
      <c r="I1" s="29" t="s">
        <v>16</v>
      </c>
      <c r="J1" s="29" t="s">
        <v>17</v>
      </c>
    </row>
    <row r="2" customHeight="1" spans="1:10">
      <c r="A2" s="31">
        <v>1</v>
      </c>
      <c r="B2" s="32" t="s">
        <v>45</v>
      </c>
      <c r="C2" s="31" t="s">
        <v>46</v>
      </c>
      <c r="D2" s="33" t="s">
        <v>47</v>
      </c>
      <c r="E2" s="31" t="s">
        <v>48</v>
      </c>
      <c r="F2" s="33">
        <v>45306</v>
      </c>
      <c r="G2" s="27" t="s">
        <v>23</v>
      </c>
      <c r="H2" s="26">
        <v>46401</v>
      </c>
      <c r="I2" s="35" t="s">
        <v>49</v>
      </c>
      <c r="J2" s="36" t="str">
        <f ca="1">IF(H2="长期","有效",IF(H2-TODAY()&lt;0,"失效",IF(H2-TODAY()&gt;=20,"有效",IF(AND(H2-TODAY()&gt;0,H2-TODAY()&lt;20),"临期"))))</f>
        <v>有效</v>
      </c>
    </row>
    <row r="3" customHeight="1" spans="1:10">
      <c r="A3" s="31">
        <v>2</v>
      </c>
      <c r="B3" s="34" t="s">
        <v>50</v>
      </c>
      <c r="C3" s="31" t="s">
        <v>51</v>
      </c>
      <c r="D3" s="33" t="s">
        <v>52</v>
      </c>
      <c r="E3" s="31" t="s">
        <v>53</v>
      </c>
      <c r="F3" s="33">
        <v>45279</v>
      </c>
      <c r="G3" s="27" t="s">
        <v>23</v>
      </c>
      <c r="H3" s="26">
        <v>46374</v>
      </c>
      <c r="I3" s="35" t="s">
        <v>54</v>
      </c>
      <c r="J3" s="36" t="str">
        <f ca="1">IF(H3="长期","有效",IF(H3-TODAY()&lt;0,"失效",IF(H3-TODAY()&gt;=20,"有效",IF(AND(H3-TODAY()&gt;0,H3-TODAY()&lt;20),"临期"))))</f>
        <v>有效</v>
      </c>
    </row>
    <row r="4" customHeight="1" spans="1:10">
      <c r="A4" s="31">
        <v>3</v>
      </c>
      <c r="B4" s="34" t="s">
        <v>55</v>
      </c>
      <c r="C4" s="31" t="s">
        <v>56</v>
      </c>
      <c r="D4" s="33" t="s">
        <v>52</v>
      </c>
      <c r="E4" s="31" t="s">
        <v>57</v>
      </c>
      <c r="F4" s="33">
        <v>45279</v>
      </c>
      <c r="G4" s="27" t="s">
        <v>23</v>
      </c>
      <c r="H4" s="26">
        <v>46374</v>
      </c>
      <c r="I4" s="35" t="s">
        <v>58</v>
      </c>
      <c r="J4" s="36" t="str">
        <f ca="1">IF(H4="长期","有效",IF(H4-TODAY()&lt;0,"失效",IF(H4-TODAY()&gt;=20,"有效",IF(AND(H4-TODAY()&gt;0,H4-TODAY()&lt;20),"临期"))))</f>
        <v>有效</v>
      </c>
    </row>
    <row r="5" customHeight="1" spans="1:10">
      <c r="A5" s="31">
        <v>4</v>
      </c>
      <c r="B5" s="34" t="s">
        <v>59</v>
      </c>
      <c r="C5" s="31" t="s">
        <v>60</v>
      </c>
      <c r="D5" s="33" t="s">
        <v>52</v>
      </c>
      <c r="E5" s="31" t="s">
        <v>61</v>
      </c>
      <c r="F5" s="33">
        <v>45279</v>
      </c>
      <c r="G5" s="27" t="s">
        <v>23</v>
      </c>
      <c r="H5" s="26">
        <v>46374</v>
      </c>
      <c r="I5" s="35" t="s">
        <v>58</v>
      </c>
      <c r="J5" s="36" t="str">
        <f ca="1">IF(H5="长期","有效",IF(H5-TODAY()&lt;0,"失效",IF(H5-TODAY()&gt;=20,"有效",IF(AND(H5-TODAY()&gt;0,H5-TODAY()&lt;20),"临期"))))</f>
        <v>有效</v>
      </c>
    </row>
    <row r="6" customHeight="1" spans="1:10">
      <c r="A6" s="31">
        <v>8</v>
      </c>
      <c r="B6" s="25" t="s">
        <v>62</v>
      </c>
      <c r="C6" s="27" t="s">
        <v>63</v>
      </c>
      <c r="D6" s="33" t="s">
        <v>47</v>
      </c>
      <c r="E6" s="31" t="s">
        <v>64</v>
      </c>
      <c r="F6" s="26">
        <v>45632</v>
      </c>
      <c r="G6" s="27" t="s">
        <v>23</v>
      </c>
      <c r="H6" s="26">
        <v>46726</v>
      </c>
      <c r="I6" s="35" t="s">
        <v>65</v>
      </c>
      <c r="J6" s="36" t="str">
        <f ca="1">IF(H6="长期","有效",IF(H6-TODAY()&lt;0,"失效",IF(H6-TODAY()&gt;=20,"有效",IF(AND(H6-TODAY()&gt;0,H6-TODAY()&lt;20),"临期"))))</f>
        <v>有效</v>
      </c>
    </row>
  </sheetData>
  <autoFilter ref="A1:I6">
    <extLst/>
  </autoFilter>
  <mergeCells count="1">
    <mergeCell ref="F1:H1"/>
  </mergeCells>
  <conditionalFormatting sqref="$A1:$XFD1048576">
    <cfRule type="expression" dxfId="0" priority="1">
      <formula>$J1="失效"</formula>
    </cfRule>
  </conditionalFormatting>
  <hyperlinks>
    <hyperlink ref="A1" location="目录!A1" display="序号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30"/>
  <sheetViews>
    <sheetView topLeftCell="D1" workbookViewId="0">
      <pane ySplit="1" topLeftCell="A2" activePane="bottomLeft" state="frozen"/>
      <selection/>
      <selection pane="bottomLeft" activeCell="E10" sqref="E10"/>
    </sheetView>
  </sheetViews>
  <sheetFormatPr defaultColWidth="9" defaultRowHeight="11.5"/>
  <cols>
    <col min="1" max="1" width="6.72727272727273" style="13" customWidth="1"/>
    <col min="2" max="2" width="23.6363636363636" style="14" customWidth="1"/>
    <col min="3" max="3" width="13.9090909090909" style="14" customWidth="1"/>
    <col min="4" max="4" width="22.8727272727273" style="14" customWidth="1"/>
    <col min="5" max="5" width="75" style="14" customWidth="1"/>
    <col min="6" max="6" width="10.4454545454545" style="14" customWidth="1"/>
    <col min="7" max="7" width="29.4545454545455" style="14" customWidth="1"/>
    <col min="8" max="8" width="11.0909090909091" style="15" customWidth="1"/>
    <col min="9" max="9" width="7" style="14" customWidth="1"/>
    <col min="10" max="10" width="11.0909090909091" style="15" customWidth="1"/>
    <col min="11" max="16384" width="9" style="14"/>
  </cols>
  <sheetData>
    <row r="1" ht="21" customHeight="1" spans="1:11">
      <c r="A1" s="16" t="s">
        <v>1</v>
      </c>
      <c r="B1" s="17" t="s">
        <v>66</v>
      </c>
      <c r="C1" s="17" t="s">
        <v>67</v>
      </c>
      <c r="D1" s="17" t="s">
        <v>68</v>
      </c>
      <c r="E1" s="17" t="s">
        <v>69</v>
      </c>
      <c r="F1" s="17" t="s">
        <v>70</v>
      </c>
      <c r="G1" s="17" t="s">
        <v>13</v>
      </c>
      <c r="H1" s="18" t="s">
        <v>15</v>
      </c>
      <c r="I1" s="23"/>
      <c r="J1" s="23"/>
      <c r="K1" s="17" t="s">
        <v>16</v>
      </c>
    </row>
    <row r="2" ht="32" customHeight="1" spans="1:11">
      <c r="A2" s="19">
        <v>1</v>
      </c>
      <c r="B2" s="20" t="s">
        <v>71</v>
      </c>
      <c r="C2" s="21" t="s">
        <v>72</v>
      </c>
      <c r="D2" s="21" t="s">
        <v>73</v>
      </c>
      <c r="E2" s="20" t="s">
        <v>74</v>
      </c>
      <c r="F2" s="21" t="s">
        <v>75</v>
      </c>
      <c r="G2" s="20" t="s">
        <v>76</v>
      </c>
      <c r="H2" s="22">
        <v>45328</v>
      </c>
      <c r="I2" s="4" t="s">
        <v>23</v>
      </c>
      <c r="J2" s="24" t="s">
        <v>24</v>
      </c>
      <c r="K2" s="11"/>
    </row>
    <row r="3" ht="48" spans="1:11">
      <c r="A3" s="19"/>
      <c r="B3" s="20"/>
      <c r="C3" s="20"/>
      <c r="D3" s="21" t="s">
        <v>77</v>
      </c>
      <c r="E3" s="20" t="s">
        <v>78</v>
      </c>
      <c r="F3" s="66" t="s">
        <v>79</v>
      </c>
      <c r="G3" s="20" t="s">
        <v>80</v>
      </c>
      <c r="H3" s="22">
        <v>46167</v>
      </c>
      <c r="I3" s="4" t="s">
        <v>23</v>
      </c>
      <c r="J3" s="22" t="s">
        <v>81</v>
      </c>
      <c r="K3" s="11"/>
    </row>
    <row r="4" ht="18" customHeight="1" spans="1:11">
      <c r="A4" s="19"/>
      <c r="B4" s="20"/>
      <c r="C4" s="20"/>
      <c r="D4" s="21"/>
      <c r="E4" s="20"/>
      <c r="F4" s="21"/>
      <c r="G4" s="20"/>
      <c r="H4" s="22"/>
      <c r="I4" s="4"/>
      <c r="J4" s="22"/>
      <c r="K4" s="11"/>
    </row>
    <row r="5" ht="18" customHeight="1" spans="1:11">
      <c r="A5" s="19"/>
      <c r="B5" s="20"/>
      <c r="C5" s="20"/>
      <c r="D5" s="21"/>
      <c r="E5" s="20"/>
      <c r="F5" s="21"/>
      <c r="G5" s="20"/>
      <c r="H5" s="22"/>
      <c r="I5" s="4"/>
      <c r="J5" s="22"/>
      <c r="K5" s="11"/>
    </row>
    <row r="6" ht="18" customHeight="1" spans="1:11">
      <c r="A6" s="19"/>
      <c r="B6" s="20"/>
      <c r="C6" s="20"/>
      <c r="D6" s="21"/>
      <c r="E6" s="20"/>
      <c r="F6" s="21"/>
      <c r="G6" s="20"/>
      <c r="H6" s="22"/>
      <c r="I6" s="4"/>
      <c r="J6" s="22"/>
      <c r="K6" s="11"/>
    </row>
    <row r="7" ht="18" customHeight="1" spans="1:11">
      <c r="A7" s="19"/>
      <c r="B7" s="20"/>
      <c r="C7" s="21"/>
      <c r="D7" s="21"/>
      <c r="E7" s="20"/>
      <c r="F7" s="21"/>
      <c r="G7" s="20"/>
      <c r="H7" s="22"/>
      <c r="I7" s="4"/>
      <c r="J7" s="22"/>
      <c r="K7" s="11"/>
    </row>
    <row r="8" ht="18" customHeight="1" spans="2:2">
      <c r="B8" s="20"/>
    </row>
    <row r="9" ht="18" customHeight="1" spans="2:2">
      <c r="B9" s="20"/>
    </row>
    <row r="10" ht="18" customHeight="1" spans="2:2">
      <c r="B10" s="20"/>
    </row>
    <row r="11" ht="18" customHeight="1" spans="2:2">
      <c r="B11" s="20"/>
    </row>
    <row r="12" ht="18" customHeight="1" spans="2:2">
      <c r="B12" s="20"/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</sheetData>
  <autoFilter ref="A1:K7">
    <extLst/>
  </autoFilter>
  <mergeCells count="1">
    <mergeCell ref="H1:J1"/>
  </mergeCells>
  <hyperlinks>
    <hyperlink ref="A1" location="目录!A1" display="序号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F18" sqref="F18"/>
    </sheetView>
  </sheetViews>
  <sheetFormatPr defaultColWidth="9" defaultRowHeight="14" outlineLevelRow="3"/>
  <cols>
    <col min="2" max="2" width="24.4545454545455" customWidth="1"/>
    <col min="5" max="5" width="13.9090909090909" customWidth="1"/>
    <col min="7" max="7" width="12.6363636363636" customWidth="1"/>
    <col min="9" max="9" width="15.2636363636364" customWidth="1"/>
  </cols>
  <sheetData>
    <row r="1" s="1" customFormat="1" ht="15" customHeight="1" spans="1:13">
      <c r="A1" s="2" t="s">
        <v>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16</v>
      </c>
      <c r="M1" s="10" t="s">
        <v>92</v>
      </c>
    </row>
    <row r="2" spans="1:13">
      <c r="A2" s="4">
        <v>1</v>
      </c>
      <c r="B2" s="5" t="s">
        <v>93</v>
      </c>
      <c r="C2" s="6" t="s">
        <v>94</v>
      </c>
      <c r="D2" s="7" t="s">
        <v>95</v>
      </c>
      <c r="E2" s="6" t="s">
        <v>96</v>
      </c>
      <c r="F2" s="8">
        <v>44960</v>
      </c>
      <c r="G2" s="6" t="s">
        <v>97</v>
      </c>
      <c r="H2" s="8">
        <v>45058</v>
      </c>
      <c r="I2" s="5" t="s">
        <v>98</v>
      </c>
      <c r="J2" s="11" t="s">
        <v>99</v>
      </c>
      <c r="K2" s="11"/>
      <c r="L2" s="11"/>
      <c r="M2" s="12" t="s">
        <v>100</v>
      </c>
    </row>
    <row r="3" s="1" customFormat="1" ht="36" spans="1:13">
      <c r="A3" s="4">
        <v>2</v>
      </c>
      <c r="B3" s="5" t="s">
        <v>101</v>
      </c>
      <c r="C3" s="6" t="s">
        <v>94</v>
      </c>
      <c r="D3" s="7" t="s">
        <v>95</v>
      </c>
      <c r="E3" s="6" t="s">
        <v>102</v>
      </c>
      <c r="F3" s="8">
        <v>45040</v>
      </c>
      <c r="G3" s="6" t="s">
        <v>103</v>
      </c>
      <c r="H3" s="8">
        <v>45107</v>
      </c>
      <c r="I3" s="5" t="s">
        <v>104</v>
      </c>
      <c r="J3" s="11"/>
      <c r="K3" s="11"/>
      <c r="L3" s="11"/>
      <c r="M3" s="12" t="s">
        <v>100</v>
      </c>
    </row>
    <row r="4" ht="36" spans="1:13">
      <c r="A4" s="6">
        <v>3</v>
      </c>
      <c r="B4" s="5" t="s">
        <v>105</v>
      </c>
      <c r="C4" s="5" t="s">
        <v>94</v>
      </c>
      <c r="D4" s="7" t="s">
        <v>95</v>
      </c>
      <c r="E4" s="5" t="s">
        <v>106</v>
      </c>
      <c r="F4" s="9">
        <v>45009</v>
      </c>
      <c r="G4" s="5" t="s">
        <v>107</v>
      </c>
      <c r="H4" s="9">
        <v>45041</v>
      </c>
      <c r="I4" s="5" t="s">
        <v>108</v>
      </c>
      <c r="M4" s="6" t="s">
        <v>100</v>
      </c>
    </row>
  </sheetData>
  <conditionalFormatting sqref="A1">
    <cfRule type="expression" dxfId="1" priority="50">
      <formula>$L1="失效"</formula>
    </cfRule>
    <cfRule type="expression" dxfId="2" priority="49">
      <formula>$L1="临期"</formula>
    </cfRule>
  </conditionalFormatting>
  <conditionalFormatting sqref="A2:M2">
    <cfRule type="expression" dxfId="3" priority="2">
      <formula>$D2="未缴年费专利权终止"</formula>
    </cfRule>
    <cfRule type="expression" dxfId="3" priority="46">
      <formula>$D2="公布撤回"</formula>
    </cfRule>
    <cfRule type="expression" dxfId="3" priority="45">
      <formula>$D2="公布驳回"</formula>
    </cfRule>
  </conditionalFormatting>
  <conditionalFormatting sqref="B2">
    <cfRule type="duplicateValues" dxfId="4" priority="1"/>
  </conditionalFormatting>
  <conditionalFormatting sqref="A4">
    <cfRule type="expression" dxfId="3" priority="42">
      <formula>$D4="未缴年费专利权终止"</formula>
    </cfRule>
    <cfRule type="duplicateValues" dxfId="4" priority="41"/>
  </conditionalFormatting>
  <conditionalFormatting sqref="B4">
    <cfRule type="duplicateValues" dxfId="4" priority="53"/>
  </conditionalFormatting>
  <conditionalFormatting sqref="B4:C4">
    <cfRule type="expression" dxfId="3" priority="37">
      <formula>$D4="公布撤回"</formula>
    </cfRule>
    <cfRule type="expression" dxfId="3" priority="36">
      <formula>$D4="公布驳回"</formula>
    </cfRule>
    <cfRule type="expression" dxfId="3" priority="35">
      <formula>$D4="未缴年费专利权终止"</formula>
    </cfRule>
  </conditionalFormatting>
  <conditionalFormatting sqref="C4">
    <cfRule type="duplicateValues" dxfId="4" priority="34"/>
  </conditionalFormatting>
  <conditionalFormatting sqref="D4">
    <cfRule type="expression" dxfId="3" priority="3">
      <formula>$D4="未缴年费专利权终止"</formula>
    </cfRule>
    <cfRule type="expression" dxfId="3" priority="4">
      <formula>$D4="公布驳回"</formula>
    </cfRule>
    <cfRule type="expression" dxfId="3" priority="5">
      <formula>$D4="公布撤回"</formula>
    </cfRule>
  </conditionalFormatting>
  <conditionalFormatting sqref="E4">
    <cfRule type="expression" dxfId="3" priority="28">
      <formula>$D4="公布驳回"</formula>
    </cfRule>
    <cfRule type="expression" dxfId="3" priority="29">
      <formula>$D4="公布撤回"</formula>
    </cfRule>
    <cfRule type="expression" dxfId="3" priority="27">
      <formula>$D4="未缴年费专利权终止"</formula>
    </cfRule>
    <cfRule type="duplicateValues" dxfId="4" priority="26"/>
  </conditionalFormatting>
  <conditionalFormatting sqref="F4">
    <cfRule type="expression" dxfId="3" priority="25">
      <formula>$D4="公布撤回"</formula>
    </cfRule>
    <cfRule type="duplicateValues" dxfId="4" priority="22"/>
    <cfRule type="expression" dxfId="3" priority="23">
      <formula>$D4="未缴年费专利权终止"</formula>
    </cfRule>
    <cfRule type="expression" dxfId="3" priority="24">
      <formula>$D4="公布驳回"</formula>
    </cfRule>
  </conditionalFormatting>
  <conditionalFormatting sqref="G4">
    <cfRule type="expression" dxfId="3" priority="19">
      <formula>$D4="未缴年费专利权终止"</formula>
    </cfRule>
    <cfRule type="expression" dxfId="3" priority="21">
      <formula>$D4="公布撤回"</formula>
    </cfRule>
    <cfRule type="expression" dxfId="3" priority="20">
      <formula>$D4="公布驳回"</formula>
    </cfRule>
    <cfRule type="duplicateValues" dxfId="4" priority="18"/>
  </conditionalFormatting>
  <conditionalFormatting sqref="H4">
    <cfRule type="expression" dxfId="3" priority="17">
      <formula>$D4="公布撤回"</formula>
    </cfRule>
    <cfRule type="expression" dxfId="3" priority="16">
      <formula>$D4="公布驳回"</formula>
    </cfRule>
    <cfRule type="expression" dxfId="3" priority="15">
      <formula>$D4="未缴年费专利权终止"</formula>
    </cfRule>
    <cfRule type="duplicateValues" dxfId="4" priority="14"/>
  </conditionalFormatting>
  <conditionalFormatting sqref="I4">
    <cfRule type="expression" dxfId="3" priority="13">
      <formula>$D4="公布撤回"</formula>
    </cfRule>
    <cfRule type="expression" dxfId="3" priority="12">
      <formula>$D4="公布驳回"</formula>
    </cfRule>
    <cfRule type="duplicateValues" dxfId="4" priority="10"/>
    <cfRule type="expression" dxfId="3" priority="11">
      <formula>$D4="未缴年费专利权终止"</formula>
    </cfRule>
  </conditionalFormatting>
  <conditionalFormatting sqref="M4">
    <cfRule type="duplicateValues" dxfId="4" priority="6"/>
    <cfRule type="expression" dxfId="3" priority="9">
      <formula>$D4="公布撤回"</formula>
    </cfRule>
    <cfRule type="expression" dxfId="3" priority="8">
      <formula>$D4="公布驳回"</formula>
    </cfRule>
    <cfRule type="expression" dxfId="3" priority="7">
      <formula>$D4="未缴年费专利权终止"</formula>
    </cfRule>
  </conditionalFormatting>
  <conditionalFormatting sqref="A1:M1 A3:M3">
    <cfRule type="expression" dxfId="3" priority="48">
      <formula>$D1="未缴年费专利权终止"</formula>
    </cfRule>
  </conditionalFormatting>
  <conditionalFormatting sqref="B1:M1 B3:M3 A3:A4">
    <cfRule type="expression" dxfId="3" priority="51">
      <formula>$D1="公布驳回"</formula>
    </cfRule>
    <cfRule type="expression" dxfId="3" priority="52">
      <formula>$D1="公布撤回"</formula>
    </cfRule>
  </conditionalFormatting>
  <conditionalFormatting sqref="B1 B3">
    <cfRule type="duplicateValues" dxfId="4" priority="47"/>
  </conditionalFormatting>
  <hyperlinks>
    <hyperlink ref="A1" location="目录!A1" display="序号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1、基础资质</vt:lpstr>
      <vt:lpstr>2、体系认证</vt:lpstr>
      <vt:lpstr>3、产品认证与检测报告</vt:lpstr>
      <vt:lpstr>5、专利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katherine</cp:lastModifiedBy>
  <dcterms:created xsi:type="dcterms:W3CDTF">2023-04-23T06:41:00Z</dcterms:created>
  <dcterms:modified xsi:type="dcterms:W3CDTF">2026-06-01T08:36:50Z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9F1BD40175F24B30A47396D07FBEF82A_13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