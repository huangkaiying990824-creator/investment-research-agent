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80" firstSheet="2" activeTab="7"/>
  </bookViews>
  <sheets>
    <sheet name="目录" sheetId="9" r:id="rId1"/>
    <sheet name="1、基础资质" sheetId="1" r:id="rId2"/>
    <sheet name="2、荣誉、奖项证书" sheetId="2" r:id="rId3"/>
    <sheet name="5、体系认证" sheetId="7" r:id="rId4"/>
    <sheet name="6、产品认证" sheetId="5" r:id="rId5"/>
    <sheet name="7、商标证书" sheetId="11" r:id="rId6"/>
    <sheet name="8、公司资产" sheetId="6" r:id="rId7"/>
    <sheet name="9、标准信息" sheetId="13" r:id="rId8"/>
  </sheets>
  <definedNames>
    <definedName name="_xlnm._FilterDatabase" localSheetId="1" hidden="1">'1、基础资质'!$A$1:$H$7</definedName>
    <definedName name="_xlnm._FilterDatabase" localSheetId="2" hidden="1">'2、荣誉、奖项证书'!$A$1:$O$50</definedName>
    <definedName name="_xlnm._FilterDatabase" localSheetId="3" hidden="1">'5、体系认证'!$A$1:$J$10</definedName>
    <definedName name="_xlnm._FilterDatabase" localSheetId="4" hidden="1">'6、产品认证'!$A$1:$L$24</definedName>
    <definedName name="_xlnm._FilterDatabase" localSheetId="5" hidden="1">'7、商标证书'!$A$1:$K$23</definedName>
    <definedName name="_xlnm._FilterDatabase" localSheetId="6" hidden="1">'8、公司资产'!$A$1:$M$9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deng</author>
  </authors>
  <commentList>
    <comment ref="H5" authorId="0">
      <text/>
    </comment>
  </commentList>
</comments>
</file>

<file path=xl/sharedStrings.xml><?xml version="1.0" encoding="utf-8"?>
<sst xmlns="http://schemas.openxmlformats.org/spreadsheetml/2006/main" count="951" uniqueCount="496">
  <si>
    <t>目  录</t>
  </si>
  <si>
    <t>序号</t>
  </si>
  <si>
    <t>资质类别</t>
  </si>
  <si>
    <t>存放位置</t>
  </si>
  <si>
    <t>基础资质</t>
  </si>
  <si>
    <t>:\公司基本信息\1、广州世炬\1、经营业务类资质</t>
  </si>
  <si>
    <t>荣誉、奖项证书</t>
  </si>
  <si>
    <t>:\公司基本信息\1、广州世炬\3、荣誉奖项类资质</t>
  </si>
  <si>
    <t>专利证书</t>
  </si>
  <si>
    <t>:\公司基本信息\1、广东世炬\2、产品认证类资质\专利证书</t>
  </si>
  <si>
    <t>软著证书</t>
  </si>
  <si>
    <t>:\公司基本信息\1、广东世炬\2、产品认证类资质\软著证书</t>
  </si>
  <si>
    <t>ISO系列认证</t>
  </si>
  <si>
    <t>:\公司基本信息\1、广东世炬\5、认证体系类证书</t>
  </si>
  <si>
    <t>产品认证</t>
  </si>
  <si>
    <t>:\公司基本信息\1、广东世炬\2、产品认证类资质\产品认证</t>
  </si>
  <si>
    <t>商标认证</t>
  </si>
  <si>
    <t>:\公司基本信息\1、广东世炬\4、商标证书</t>
  </si>
  <si>
    <t>公司资产</t>
  </si>
  <si>
    <t>:\公司基本信息\1、广东世炬\6、投标相关资料\6、公司资产</t>
  </si>
  <si>
    <t>投标用资料</t>
  </si>
  <si>
    <t>Z:\公司基本信息\1、广东世炬\6、投标相关资料\7、投标用资料</t>
  </si>
  <si>
    <t>证明材料名称</t>
  </si>
  <si>
    <t>颁发单位</t>
  </si>
  <si>
    <t>证书编号</t>
  </si>
  <si>
    <t>有效期</t>
  </si>
  <si>
    <t>备注</t>
  </si>
  <si>
    <t>状态</t>
  </si>
  <si>
    <t>办理部门</t>
  </si>
  <si>
    <t>原件存档部门/位置</t>
  </si>
  <si>
    <t>营业执照（副本）</t>
  </si>
  <si>
    <t>珠海市场监督管理局</t>
  </si>
  <si>
    <t>至</t>
  </si>
  <si>
    <t>财务部</t>
  </si>
  <si>
    <t>核准迁入登记通知书</t>
  </si>
  <si>
    <t>珠海市市场监督管理局</t>
  </si>
  <si>
    <t>（粤珠）登字[2024]第44040012400007227号</t>
  </si>
  <si>
    <t>基本存款账户信息</t>
  </si>
  <si>
    <t>招商银行股份有限公司广州体育东路支行</t>
  </si>
  <si>
    <t>J5810281817602</t>
  </si>
  <si>
    <t>对外贸易经营者备案证书</t>
  </si>
  <si>
    <t>对外贸易经营者备案登记（广州）</t>
  </si>
  <si>
    <r>
      <rPr>
        <sz val="9"/>
        <rFont val="宋体"/>
        <charset val="134"/>
      </rPr>
      <t>关于《对外贸易经营者备案登记应用》通知，自</t>
    </r>
    <r>
      <rPr>
        <sz val="9"/>
        <rFont val="Times New Roman"/>
        <charset val="134"/>
      </rPr>
      <t>2022</t>
    </r>
    <r>
      <rPr>
        <sz val="9"/>
        <rFont val="宋体"/>
        <charset val="134"/>
      </rPr>
      <t>年</t>
    </r>
    <r>
      <rPr>
        <sz val="9"/>
        <rFont val="Times New Roman"/>
        <charset val="134"/>
      </rPr>
      <t>12</t>
    </r>
    <r>
      <rPr>
        <sz val="9"/>
        <rFont val="宋体"/>
        <charset val="134"/>
      </rPr>
      <t>月</t>
    </r>
    <r>
      <rPr>
        <sz val="9"/>
        <rFont val="Times New Roman"/>
        <charset val="134"/>
      </rPr>
      <t>30</t>
    </r>
    <r>
      <rPr>
        <sz val="9"/>
        <rFont val="宋体"/>
        <charset val="134"/>
      </rPr>
      <t>日无需办理备案登记。</t>
    </r>
  </si>
  <si>
    <t>海关进出口货物收发货人备案回执</t>
  </si>
  <si>
    <t>中华人民共和国海关</t>
  </si>
  <si>
    <t>一般纳税人资格查询证明（网站截图）</t>
  </si>
  <si>
    <t>国家税务总局广东省电子税务局</t>
  </si>
  <si>
    <t>https://etax.guangdong.chinatax.gov.cn/xxmh/html/index_origin.html?gopage=true&amp;m1=gzcx&amp;m2=&amp;fromWhere=&amp;qxkzsx=0&amp;tabTitle=null&amp;cdId=dlqcd-1&amp;gnDm=gndm-dlqcd-1#none</t>
  </si>
  <si>
    <t>/</t>
  </si>
  <si>
    <t>名称</t>
  </si>
  <si>
    <t>证书类型</t>
  </si>
  <si>
    <t>级别</t>
  </si>
  <si>
    <t>发布单位</t>
  </si>
  <si>
    <t>发布日期</t>
  </si>
  <si>
    <t>有效期自</t>
  </si>
  <si>
    <t>有效期至</t>
  </si>
  <si>
    <t>来源</t>
  </si>
  <si>
    <t>是否有扫描件</t>
  </si>
  <si>
    <t>广东省工程技术研究中心</t>
  </si>
  <si>
    <t>科技型企业</t>
  </si>
  <si>
    <t>省级</t>
  </si>
  <si>
    <t>广东省科学技术厅</t>
  </si>
  <si>
    <t>2024-04-07 至 2029-04-07</t>
  </si>
  <si>
    <t>《广东省科学技术厅关于拟认定2023年度广东省工程技术研究中心名单的公示》；http://gdstc.gd.gov.cn/zwgk_n/tzgg/content/post_4402931.html</t>
  </si>
  <si>
    <t>有，认定通知</t>
  </si>
  <si>
    <t>有</t>
  </si>
  <si>
    <t>高新技术企业</t>
  </si>
  <si>
    <t>国家级</t>
  </si>
  <si>
    <t>广东省科学技术厅、广东省财政厅、国家税务总局广东省税务局</t>
  </si>
  <si>
    <t>2023-12-28 至 2026-12-28</t>
  </si>
  <si>
    <t>GR202344017883</t>
  </si>
  <si>
    <t>《对广东省认定机构2023年认定报备的第三批高新技术企业进行备案的公告》；http://www.innocom.gov.cn/gqrdw/c101465/202401/30351190e7674daf8c837526382b31e0.shtml</t>
  </si>
  <si>
    <t>广东省工业和信息化厅</t>
  </si>
  <si>
    <t>《广东省工业和信息化厅关于第22批省级企业技术中心拟认定名单的公示》；https://gdii.gd.gov.cn/zwgk/tzgg1011/content/post_4295487.html</t>
  </si>
  <si>
    <t>广东省“专精特新”中小企业</t>
  </si>
  <si>
    <t>2021年12月</t>
  </si>
  <si>
    <t>-</t>
  </si>
  <si>
    <t>《2021年广东省专精特新中小企业名单》；https://file.qcc.com/preview/office/0800426b-f006-4f4d-9caa-9d48bed31d23</t>
  </si>
  <si>
    <t>省级企业技术中心</t>
  </si>
  <si>
    <t>http://gdii.gd.gov.cn/zwgk/tzgg1011/content/post_4301846.html</t>
  </si>
  <si>
    <t>认定通知</t>
  </si>
  <si>
    <t>广东创新标杆企业</t>
  </si>
  <si>
    <t>广东省高新技术企业服务平台</t>
  </si>
  <si>
    <t>2020.12.31</t>
  </si>
  <si>
    <t>https://mp.weixin.qq.com/s/Qo3HV_PpLnExqF8eHjp3tQ</t>
  </si>
  <si>
    <t>2023年度广东省知识产权示范企业</t>
  </si>
  <si>
    <t>荣誉</t>
  </si>
  <si>
    <t>广东知识产权保护协会</t>
  </si>
  <si>
    <t>《“2023年度广东省知识产权示范企业”公示名单》；https://qccdata.qichacha.com/TechnologyCompany/d1721a55df254bb8bfb623cabbcacac8.pdf</t>
  </si>
  <si>
    <t>市级企业技术中心</t>
  </si>
  <si>
    <t>市级</t>
  </si>
  <si>
    <t>珠海市工业和信息化局</t>
  </si>
  <si>
    <t>《关于认定第二十六批珠海市市级企业技术中心的通知》；https://qccdata.qichacha.com/TechnologyCompany/206f62d445e6c74fb838a38d4dbad8d0.pdf</t>
  </si>
  <si>
    <t>广州市“专精特新”民营企业扶优计划培育企业  2021年广东省专精特新中小企业</t>
  </si>
  <si>
    <t>广州市工商业联合会 广东省工业和信息化局</t>
  </si>
  <si>
    <t>2021年10月</t>
  </si>
  <si>
    <t>《广州市市级“专精特新”（两高四新）企业入库名单》；http://gdii.gd.gov.cn/zxqy3242/content/post_3754778.html</t>
  </si>
  <si>
    <t>有公示网址，牌匾自己做</t>
  </si>
  <si>
    <t>总裁办</t>
  </si>
  <si>
    <t>云升前台</t>
  </si>
  <si>
    <t>珠海市企业技术中心</t>
  </si>
  <si>
    <t>珠海市工信局</t>
  </si>
  <si>
    <t>https://www.zhuhai.gov.cn/gxj/gkmlpt/content/3/3613/post_3613533.html#6204</t>
  </si>
  <si>
    <t>2016年英特尔众创空间加速器“智胜未来”创新大赛</t>
  </si>
  <si>
    <t>一等奖</t>
  </si>
  <si>
    <t>贵阳市科技局、英特尔（中国）有限公司</t>
  </si>
  <si>
    <t>2017年“英特尔”创新加速器“智胜未来”创新大赛</t>
  </si>
  <si>
    <t>季军</t>
  </si>
  <si>
    <t>英特尔创新加速器、中关村创业大街</t>
  </si>
  <si>
    <t>2017年第二届全国智能制造（中国制造2025）创新创业大赛人工智能专项赛</t>
  </si>
  <si>
    <t>第2名</t>
  </si>
  <si>
    <t>中国产业互联网发展联盟、工业和信息化部软件与集成电路促进中心</t>
  </si>
  <si>
    <t>2017年第二届羊城科创杯创新创业大赛</t>
  </si>
  <si>
    <t>第28名</t>
  </si>
  <si>
    <t>广州科技创新委员会</t>
  </si>
  <si>
    <t>2017年第六届中国创新创业大赛优秀企业</t>
  </si>
  <si>
    <t>优秀企业</t>
  </si>
  <si>
    <t>2017年</t>
  </si>
  <si>
    <t>https://www.sohu.com/a/191219175_366465</t>
  </si>
  <si>
    <t>2021年第十届中国创新创业大赛</t>
  </si>
  <si>
    <t>中国创新创业大赛组委会</t>
  </si>
  <si>
    <t>2021年</t>
  </si>
  <si>
    <t>牌匾</t>
  </si>
  <si>
    <t>第四“招商杯”创意创新创业大赛</t>
  </si>
  <si>
    <t>二等奖</t>
  </si>
  <si>
    <t>招商局集团有限公司</t>
  </si>
  <si>
    <t>2022年</t>
  </si>
  <si>
    <t>奖杯</t>
  </si>
  <si>
    <t>第五届绽放杯5G应用大赛广东赛区三等奖</t>
  </si>
  <si>
    <t>工业和信息化部</t>
  </si>
  <si>
    <t>https://www.5gaia.org.cn/Five/News/Detail/619  （项目编号：54857）</t>
  </si>
  <si>
    <t>项目编号：54857</t>
  </si>
  <si>
    <t>第十二届中国创新创业大赛(广东珠海赛区)暨2023年珠海市“科创杯”创新创业大赛 二等奖</t>
  </si>
  <si>
    <t>珠海市创新创业大赛组委会</t>
  </si>
  <si>
    <t>https://www.zhuhai.gov.cn/kjcxj/gkmlpt/content/3/3584/post_3584699.html#6197</t>
  </si>
  <si>
    <t>奖杯、证书、牌匾</t>
  </si>
  <si>
    <t>2021年 5G生态最值得关注的十大新锐创业企业</t>
  </si>
  <si>
    <t>十强公司</t>
  </si>
  <si>
    <t>2021 Demo China创新中国峰会
2021年高通创投-腾讯5G生态计划创业大赛评委</t>
  </si>
  <si>
    <t>证书、奖杯</t>
  </si>
  <si>
    <t>广东省名优高新技术产品 - 5G NR SA基站协议栈软件/5G NR mmWave基站物理层软件/5G扩展型皮基站</t>
  </si>
  <si>
    <t>广东省高新技术企业协会</t>
  </si>
  <si>
    <t>2024年1月</t>
  </si>
  <si>
    <t>https://www.elecfans.com/d/2331704.html</t>
  </si>
  <si>
    <t>证书、牌匾</t>
  </si>
  <si>
    <t>珠海市知识产权局关于公示珠海市首批专利密集型企业培育名单</t>
  </si>
  <si>
    <t>珠海市知识产权局</t>
  </si>
  <si>
    <t>https://www.zhuhai.gov.cn/scjgj/gkmlpt/content/3/3648/mpost_3648428.html#6580</t>
  </si>
  <si>
    <t>广州市软件行业协会-单位会员证书</t>
  </si>
  <si>
    <t>广州市软件行业协会　</t>
  </si>
  <si>
    <t>2025GZSAV0069</t>
  </si>
  <si>
    <t>广东省联合培养研究生师范基地</t>
  </si>
  <si>
    <t>自建</t>
  </si>
  <si>
    <t>华南师范大学
广东省教育厅</t>
  </si>
  <si>
    <t>牌匾，有协议</t>
  </si>
  <si>
    <t>人事行政</t>
  </si>
  <si>
    <t>广东省本科高校科产教融合实践教学基地</t>
  </si>
  <si>
    <t>证书、牌匾，有协议</t>
  </si>
  <si>
    <t>2021年第十届中国创新创业大赛(广东·广州赛区)暨第六届羊城“科创杯”创新创业大赛
新一代信息技术行业成长组 二等奖</t>
  </si>
  <si>
    <t>中国创新创业大赛(东广州赛区)组委会
广州市科学技术局大湾区科技创新服务中心</t>
  </si>
  <si>
    <t>2021年11月</t>
  </si>
  <si>
    <t>https://gxj.gz.gov.cn/zt/zwxjjsxmhb/cxcycgxm/content/mpost_7367504.html</t>
  </si>
  <si>
    <t>证书、奖状、牌匾</t>
  </si>
  <si>
    <t>中国通信标准化协会（CCSA）-全权会员证书</t>
  </si>
  <si>
    <t>成员</t>
  </si>
  <si>
    <t>中国通信标准化会</t>
  </si>
  <si>
    <t>会员编号6079</t>
  </si>
  <si>
    <t>证书</t>
  </si>
  <si>
    <t>2020年“专精特新”新品发布会</t>
  </si>
  <si>
    <t>入围新品</t>
  </si>
  <si>
    <t>“专精特新”新品发布会组委会</t>
  </si>
  <si>
    <t>2020年11月</t>
  </si>
  <si>
    <t>航空5G联合实验室</t>
  </si>
  <si>
    <t>天宇航空数据科技（合肥）有限责任公司
国家空管新航行系统技术重点实验室</t>
  </si>
  <si>
    <t>总字（2023）第010号</t>
  </si>
  <si>
    <t>牌匾，合作协议</t>
  </si>
  <si>
    <t>中国星网2023年度供应商</t>
  </si>
  <si>
    <t>贡献奖</t>
  </si>
  <si>
    <t>中国星网</t>
  </si>
  <si>
    <t>2023年</t>
  </si>
  <si>
    <t>广东省工业互联网产业联盟</t>
  </si>
  <si>
    <t>会员单位</t>
  </si>
  <si>
    <t>NO.00884</t>
  </si>
  <si>
    <t>2023德勤粤港澳大湾区 高科技成长</t>
  </si>
  <si>
    <t>第32名</t>
  </si>
  <si>
    <t>https://baijiahao.baidu.com/s?id=1797644151964107480&amp;wfr=spider&amp;for=pc</t>
  </si>
  <si>
    <t>广东省产学研教育合作基地</t>
  </si>
  <si>
    <t>暨南大学</t>
  </si>
  <si>
    <t>有协议</t>
  </si>
  <si>
    <t>下一代移动通信研究中心</t>
  </si>
  <si>
    <t>香港应用科技研究有限公司</t>
  </si>
  <si>
    <t>总字（2024）第006号</t>
  </si>
  <si>
    <t>合作协议</t>
  </si>
  <si>
    <t>第九届“创客中国”广东省中小企业创新创业大赛暨第八届“创客广东”大赛</t>
  </si>
  <si>
    <t>优胜奖</t>
  </si>
  <si>
    <t>创客广东大赛组委会</t>
  </si>
  <si>
    <t>http://gdii.gd.gov.cn/zwgk/tzgg1011/content/post_4501168.html</t>
  </si>
  <si>
    <t>公告名单</t>
  </si>
  <si>
    <t>国家专精特新“小巨人”企业</t>
  </si>
  <si>
    <t>2024-09-02 至 2027-09-02</t>
  </si>
  <si>
    <t>http://gdii.gd.gov.cn/zwgk/tzgg1011/content/post_4486888.html</t>
  </si>
  <si>
    <t>关于第十三届中国创新创业大赛航天技术融合创新专业赛暨第六届中国航天创新创业大赛（创业组）三等奖</t>
  </si>
  <si>
    <t>中国宇航学会
中国航天科技国际交流中心</t>
  </si>
  <si>
    <t>https://qccdata.qichacha.com/TechnologyCompany/1a775059080bc368b67e29e2b7eb7871.pdf</t>
  </si>
  <si>
    <t>瞪羚企业</t>
  </si>
  <si>
    <t>珠海市科技创新局</t>
  </si>
  <si>
    <t>https://qccdata.qichacha.com/TechnologyCompany/04c00027728f6ba0b87d93f7484612b5.pdf</t>
  </si>
  <si>
    <t>专精特新中小企业</t>
  </si>
  <si>
    <t xml:space="preserve"> 广东省工业和信息化厅</t>
  </si>
  <si>
    <r>
      <rPr>
        <sz val="9"/>
        <color rgb="FF333333"/>
        <rFont val="Arial"/>
        <charset val="134"/>
      </rPr>
      <t xml:space="preserve">2025-03-25 </t>
    </r>
    <r>
      <rPr>
        <sz val="9"/>
        <color rgb="FF333333"/>
        <rFont val="宋体"/>
        <charset val="134"/>
      </rPr>
      <t>至</t>
    </r>
    <r>
      <rPr>
        <sz val="9"/>
        <color rgb="FF333333"/>
        <rFont val="Arial"/>
        <charset val="134"/>
      </rPr>
      <t xml:space="preserve"> 2028-03-25</t>
    </r>
  </si>
  <si>
    <t>https://file.qcc.com/preview/office/c80d718e-5f4e-46e9-b79f-54ce2f1c4b68</t>
  </si>
  <si>
    <t>国家重大科研成果示范应用——低空经济专场案例</t>
  </si>
  <si>
    <t>中关村活动</t>
  </si>
  <si>
    <t>关于第十三届中国创新创业大赛低空经济领域专业赛复赛入围企业名单的公示</t>
  </si>
  <si>
    <t>2024年广东省通信学会科学技术（一等奖），获奖项目：面向复杂工业场景的5G一A网络确定性保障关键技术研究与应用</t>
  </si>
  <si>
    <t>广东省通信学会</t>
  </si>
  <si>
    <t>KJJB2024-3-DW7</t>
  </si>
  <si>
    <t>2024年度珠海市异地创新中心</t>
  </si>
  <si>
    <t>2024年度广东省电子信息科学进步奖二等奖</t>
  </si>
  <si>
    <t>2024年</t>
  </si>
  <si>
    <t>中国联通优秀合作伙伴2025</t>
  </si>
  <si>
    <t>企业</t>
  </si>
  <si>
    <t>中国联合网络通信有限公司广东省分公司</t>
  </si>
  <si>
    <t>2025年</t>
  </si>
  <si>
    <t>广东省无线通信小基站工程技术研究中心</t>
  </si>
  <si>
    <t>（聘书）“巡天网鉴”计划联盟成员</t>
  </si>
  <si>
    <t>西安电子科技大学-空天地一体化综合业务网全国重点实验室</t>
  </si>
  <si>
    <t>有聘书</t>
  </si>
  <si>
    <t>林力</t>
  </si>
  <si>
    <t>市场部</t>
  </si>
  <si>
    <r>
      <rPr>
        <sz val="9"/>
        <color theme="1"/>
        <rFont val="宋体"/>
        <charset val="134"/>
      </rPr>
      <t>5</t>
    </r>
    <r>
      <rPr>
        <sz val="9"/>
        <color theme="1"/>
        <rFont val="宋体"/>
        <charset val="134"/>
      </rPr>
      <t>2</t>
    </r>
  </si>
  <si>
    <t>2025年度广东省电子学会科学技术奖</t>
  </si>
  <si>
    <t>科技进步奖
一等奖</t>
  </si>
  <si>
    <t>广东省电子学会</t>
  </si>
  <si>
    <t>https://www.gdcie.org.cn/News_View.aspx?classId=169&amp;pclassId=168&amp;kindId=6&amp;id=20318</t>
  </si>
  <si>
    <t>中国联通优秀合作伙伴2026</t>
  </si>
  <si>
    <r>
      <rPr>
        <sz val="9"/>
        <color theme="1"/>
        <rFont val="宋体"/>
        <charset val="134"/>
      </rPr>
      <t>202</t>
    </r>
    <r>
      <rPr>
        <sz val="9"/>
        <color theme="1"/>
        <rFont val="宋体"/>
        <charset val="134"/>
      </rPr>
      <t>6</t>
    </r>
    <r>
      <rPr>
        <sz val="9"/>
        <color theme="1"/>
        <rFont val="宋体"/>
        <charset val="134"/>
      </rPr>
      <t>年</t>
    </r>
  </si>
  <si>
    <t>有效</t>
  </si>
  <si>
    <t>前台</t>
  </si>
  <si>
    <t>认证体系</t>
  </si>
  <si>
    <t>资质名称</t>
  </si>
  <si>
    <t>认证范围</t>
  </si>
  <si>
    <t>颁发机构</t>
  </si>
  <si>
    <t>GB/T 19001-2016 / ISO 9001：2015 标准</t>
  </si>
  <si>
    <r>
      <rPr>
        <sz val="9"/>
        <color theme="1"/>
        <rFont val="微软雅黑"/>
        <charset val="134"/>
      </rPr>
      <t>质量管理体系认证证</t>
    </r>
    <r>
      <rPr>
        <sz val="9"/>
        <color rgb="FF000000"/>
        <rFont val="微软雅黑"/>
        <charset val="134"/>
      </rPr>
      <t>书</t>
    </r>
  </si>
  <si>
    <t>计算机应用软件的开发及运维服务；计算机系统集成；通信设备（基站设备及板卡）的设计、生产和销售</t>
  </si>
  <si>
    <t>兴原认证中心有限公司</t>
  </si>
  <si>
    <t>0350325Q30045R2M</t>
  </si>
  <si>
    <t>中/英版本</t>
  </si>
  <si>
    <t>GB/T 24001-2016 / ISO 14001:2015 环境管理体系认证证书</t>
  </si>
  <si>
    <t>环境管理体系认证证书</t>
  </si>
  <si>
    <t>0350325E20332R1M</t>
  </si>
  <si>
    <t>GB/T 45001-2020/ISO 45001:2018 职业健康安全管理体系认证证书</t>
  </si>
  <si>
    <t>职业健康安全管理体系认证证书</t>
  </si>
  <si>
    <t>计算机应用软件的开发；计算机系统集成服务；通信设备（基站设备及板卡）的设计、生产和销售</t>
  </si>
  <si>
    <t>0350325S30327R1M</t>
  </si>
  <si>
    <t>GB/T 29490-2013 
知识产权管理体系认证证书</t>
  </si>
  <si>
    <t>知识产权合规管理体系认证证书</t>
  </si>
  <si>
    <t>计算机应用软件的开发及运维服务；计算机系统集成；通信设备（基站设备及板卡）的设计、生产和销售”相关的知识产权管理活动</t>
  </si>
  <si>
    <t>0350125IP120072R1M</t>
  </si>
  <si>
    <t>ISO/IEC 20000-1:2018 信息技术服务管理体系认证证书</t>
  </si>
  <si>
    <t>信息技术服务管理体系认证证书</t>
  </si>
  <si>
    <t>向外部客户提供计算机应用软件开发及运维服务相关的信息技术服务管理活动</t>
  </si>
  <si>
    <t>0352025ITSM372R1CN</t>
  </si>
  <si>
    <t>GB/T 22080-2016 / ISO/IEC 27001: 2013 信息安全管理体系认证证书</t>
  </si>
  <si>
    <t>信息安全管理体系认证证书</t>
  </si>
  <si>
    <t>与计算机应用软件开发及运维服务；计算机系统集成；通信设备（基站设备及板卡）的设计、生产和销售相关的信息安全管理活动；《信息安全适用性声明》（版本号：B/0）</t>
  </si>
  <si>
    <t>0350125IS30577R1M</t>
  </si>
  <si>
    <t>CTS Q/ZJLH 081-2024</t>
  </si>
  <si>
    <t>绿色环保企业体系认证证书</t>
  </si>
  <si>
    <t>计算机应用软件开发及运维服务；计算机系统集成；通信设备（基站设备及板卡）的设计、生产和销售所涉及的绿色环保企业管理活动</t>
  </si>
  <si>
    <t>中粤湾区检测认证（广东）有限公司</t>
  </si>
  <si>
    <t>CCBA25LH006R0M</t>
  </si>
  <si>
    <t>CTS Q/ZJLH 069-2023</t>
  </si>
  <si>
    <t>绿色包装管理体系认证证书</t>
  </si>
  <si>
    <t>计算机应用软件开发及运维服务；计算机系统集成；通信设备（基站设备及板卡）的设计、生产和销售所涉及的绿色包装管理活动（AAAAA）</t>
  </si>
  <si>
    <t>CCBA25LB008R0M</t>
  </si>
  <si>
    <t>CTS Q/ZYRZ 049-2025</t>
  </si>
  <si>
    <t>数智化绿色低碳管理体系认证证书</t>
  </si>
  <si>
    <t>计算机应用软件开发及运维服务；计算机系统集成；通信设备（基站设备及板卡）的设计、生产和销售所涉及的数智化绿色低碳管理活动</t>
  </si>
  <si>
    <t>CCBA25DSMS003R0M</t>
  </si>
  <si>
    <t>证件类别</t>
  </si>
  <si>
    <t>证书名称</t>
  </si>
  <si>
    <t>产品名称</t>
  </si>
  <si>
    <t>型号</t>
  </si>
  <si>
    <t>内容</t>
  </si>
  <si>
    <t>核准代码</t>
  </si>
  <si>
    <t>入网证</t>
  </si>
  <si>
    <t>电信设备进网试用批文</t>
  </si>
  <si>
    <r>
      <rPr>
        <sz val="9"/>
        <color theme="1"/>
        <rFont val="Times New Roman"/>
        <charset val="134"/>
      </rPr>
      <t>LTE  FDD</t>
    </r>
    <r>
      <rPr>
        <sz val="9"/>
        <color theme="1"/>
        <rFont val="宋体"/>
        <charset val="134"/>
      </rPr>
      <t>移动通信基站</t>
    </r>
  </si>
  <si>
    <t>SBS05110</t>
  </si>
  <si>
    <t>该设备支持3GPPR9版本</t>
  </si>
  <si>
    <t>17-F839-241379</t>
  </si>
  <si>
    <t>中华人民共和国工业和信息化部</t>
  </si>
  <si>
    <r>
      <rPr>
        <sz val="9"/>
        <color theme="1"/>
        <rFont val="Times New Roman"/>
        <charset val="134"/>
      </rPr>
      <t>LTE FDD</t>
    </r>
    <r>
      <rPr>
        <sz val="9"/>
        <color theme="1"/>
        <rFont val="宋体"/>
        <charset val="134"/>
      </rPr>
      <t>移动通信基站</t>
    </r>
  </si>
  <si>
    <t>SNQ008-N78-B3-F4</t>
  </si>
  <si>
    <t>17-F839-252293</t>
  </si>
  <si>
    <t>核准证</t>
  </si>
  <si>
    <t>无线电发射设备型号核准证</t>
  </si>
  <si>
    <r>
      <rPr>
        <sz val="9"/>
        <color theme="1"/>
        <rFont val="Times New Roman"/>
        <charset val="134"/>
      </rPr>
      <t>5G</t>
    </r>
    <r>
      <rPr>
        <sz val="9"/>
        <color theme="1"/>
        <rFont val="宋体"/>
        <charset val="134"/>
      </rPr>
      <t>基站</t>
    </r>
  </si>
  <si>
    <t>SRU23422</t>
  </si>
  <si>
    <r>
      <rPr>
        <sz val="9"/>
        <color theme="1"/>
        <rFont val="宋体"/>
        <charset val="134"/>
      </rPr>
      <t>频率范围：</t>
    </r>
    <r>
      <rPr>
        <sz val="9"/>
        <color theme="1"/>
        <rFont val="Times New Roman"/>
        <charset val="134"/>
      </rPr>
      <t>2525-2675MHz</t>
    </r>
  </si>
  <si>
    <t>2020CP11374</t>
  </si>
  <si>
    <t>CMIIT ID:2020CP11374</t>
  </si>
  <si>
    <t>工业和信息化部无线电管理局</t>
  </si>
  <si>
    <t>SRU23432</t>
  </si>
  <si>
    <r>
      <rPr>
        <sz val="9"/>
        <color theme="1"/>
        <rFont val="宋体"/>
        <charset val="134"/>
      </rPr>
      <t>频率范围：</t>
    </r>
    <r>
      <rPr>
        <sz val="9"/>
        <color theme="1"/>
        <rFont val="Times New Roman"/>
        <charset val="134"/>
      </rPr>
      <t>3400-3600MHz</t>
    </r>
  </si>
  <si>
    <t>2020CP11708</t>
  </si>
  <si>
    <t>CMIIT ID:2020CP11708</t>
  </si>
  <si>
    <t>SRU23432-33</t>
  </si>
  <si>
    <r>
      <rPr>
        <sz val="9"/>
        <color theme="1"/>
        <rFont val="宋体"/>
        <charset val="134"/>
      </rPr>
      <t>频率范围：</t>
    </r>
    <r>
      <rPr>
        <sz val="9"/>
        <color theme="1"/>
        <rFont val="Times New Roman"/>
        <charset val="134"/>
      </rPr>
      <t>3300-3400MHz</t>
    </r>
  </si>
  <si>
    <t>2020CP11744</t>
  </si>
  <si>
    <t>CMIIT ID:2020CP11744</t>
  </si>
  <si>
    <t>SBR61232</t>
  </si>
  <si>
    <t>2023-1789</t>
  </si>
  <si>
    <t>CMIIT ID:2023CP11789</t>
  </si>
  <si>
    <t>SBR61242</t>
  </si>
  <si>
    <r>
      <rPr>
        <sz val="9"/>
        <color theme="1"/>
        <rFont val="宋体"/>
        <charset val="134"/>
      </rPr>
      <t>频率范围：</t>
    </r>
    <r>
      <rPr>
        <sz val="9"/>
        <color theme="1"/>
        <rFont val="Times New Roman"/>
        <charset val="134"/>
      </rPr>
      <t>4800-4960MHz</t>
    </r>
  </si>
  <si>
    <t>2022-20296</t>
  </si>
  <si>
    <t>CMIIT ID:2022CP20296</t>
  </si>
  <si>
    <t>SBR61223</t>
  </si>
  <si>
    <r>
      <rPr>
        <sz val="9"/>
        <color theme="1"/>
        <rFont val="宋体"/>
        <charset val="134"/>
      </rPr>
      <t>频率范围：2515</t>
    </r>
    <r>
      <rPr>
        <sz val="9"/>
        <color theme="1"/>
        <rFont val="Times New Roman"/>
        <charset val="134"/>
      </rPr>
      <t>-1675MHz</t>
    </r>
  </si>
  <si>
    <t>2024-4211</t>
  </si>
  <si>
    <t>24C440S00515</t>
  </si>
  <si>
    <t>SBR61233</t>
  </si>
  <si>
    <t>2024-4194</t>
  </si>
  <si>
    <t>24C440S0N671</t>
  </si>
  <si>
    <r>
      <rPr>
        <sz val="9"/>
        <color theme="1"/>
        <rFont val="Times New Roman"/>
        <charset val="134"/>
      </rPr>
      <t>LTE FDD</t>
    </r>
    <r>
      <rPr>
        <sz val="9"/>
        <color theme="1"/>
        <rFont val="宋体"/>
        <charset val="134"/>
      </rPr>
      <t>基站</t>
    </r>
  </si>
  <si>
    <r>
      <rPr>
        <sz val="9"/>
        <color theme="1"/>
        <rFont val="宋体"/>
        <charset val="134"/>
      </rPr>
      <t>频率范围：1805</t>
    </r>
    <r>
      <rPr>
        <sz val="9"/>
        <color theme="1"/>
        <rFont val="Times New Roman"/>
        <charset val="134"/>
      </rPr>
      <t>-1830MHz ;
                    1830-1860MHz ;
                    1860-1880MHz ;</t>
    </r>
  </si>
  <si>
    <t>2024-5581</t>
  </si>
  <si>
    <t>24C440S01008</t>
  </si>
  <si>
    <r>
      <rPr>
        <sz val="9"/>
        <color theme="1"/>
        <rFont val="Times New Roman"/>
        <charset val="134"/>
      </rPr>
      <t>LTE FDD / 5G</t>
    </r>
    <r>
      <rPr>
        <sz val="9"/>
        <color theme="1"/>
        <rFont val="宋体"/>
        <charset val="134"/>
      </rPr>
      <t>基站</t>
    </r>
  </si>
  <si>
    <t>LTE FDD：
         1805-1830MHz
         1830-1860MHz
         1860-1880MHz
5G：
         3300-3400MHz
         3400-3600MHz</t>
  </si>
  <si>
    <t>2025-3820</t>
  </si>
  <si>
    <t>25C440S00092</t>
  </si>
  <si>
    <t>测试报告</t>
  </si>
  <si>
    <r>
      <rPr>
        <sz val="9"/>
        <color theme="1"/>
        <rFont val="宋体"/>
        <charset val="134"/>
      </rPr>
      <t>海上风机专用</t>
    </r>
    <r>
      <rPr>
        <sz val="9"/>
        <color theme="1"/>
        <rFont val="Times New Roman"/>
        <charset val="134"/>
      </rPr>
      <t>4</t>
    </r>
    <r>
      <rPr>
        <sz val="9"/>
        <color theme="1"/>
        <rFont val="宋体"/>
        <charset val="134"/>
      </rPr>
      <t>/</t>
    </r>
    <r>
      <rPr>
        <sz val="9"/>
        <color theme="1"/>
        <rFont val="Times New Roman"/>
        <charset val="134"/>
      </rPr>
      <t>5G</t>
    </r>
    <r>
      <rPr>
        <sz val="9"/>
        <color theme="1"/>
        <rFont val="宋体"/>
        <charset val="134"/>
      </rPr>
      <t>双模基站试运行报告</t>
    </r>
  </si>
  <si>
    <t>海上风机专用4/5G双模基站</t>
  </si>
  <si>
    <t>揭阳联通试点项目</t>
  </si>
  <si>
    <t>中国联合网络通信有限公司揭阳市分公司交付中心</t>
  </si>
  <si>
    <t>商务部</t>
  </si>
  <si>
    <r>
      <rPr>
        <sz val="9"/>
        <color theme="1"/>
        <rFont val="宋体"/>
        <charset val="134"/>
      </rPr>
      <t xml:space="preserve">MC/ilac-MRA/CNAS </t>
    </r>
    <r>
      <rPr>
        <sz val="9"/>
        <color theme="1"/>
        <rFont val="宋体"/>
        <charset val="134"/>
      </rPr>
      <t>检验报告</t>
    </r>
  </si>
  <si>
    <t>5G移动通信基站</t>
  </si>
  <si>
    <t>进网检验；
该设备支持独立组网。</t>
  </si>
  <si>
    <t>03-23-MN0458</t>
  </si>
  <si>
    <t>威尔克通信实验室
信息产业数据通信产品质量监督检验中心</t>
  </si>
  <si>
    <t>MC/ilac-MRA/CNAS 检验报告</t>
  </si>
  <si>
    <t>03-23-MN0459</t>
  </si>
  <si>
    <t>进网检验；
该设备支持独立组网；该设备包含SBUL5240型号的近端单元、SEU13110型号的汇聚单元和SRU23432型号的远端单元(BStype1-C)。</t>
  </si>
  <si>
    <t>10-21-JW091</t>
  </si>
  <si>
    <t>第三方检测报告</t>
  </si>
  <si>
    <r>
      <rPr>
        <sz val="9"/>
        <color theme="1"/>
        <rFont val="Times New Roman"/>
        <charset val="134"/>
      </rPr>
      <t xml:space="preserve">WDAS-1835 </t>
    </r>
    <r>
      <rPr>
        <sz val="9"/>
        <color theme="1"/>
        <rFont val="宋体"/>
        <charset val="134"/>
      </rPr>
      <t>检验报告</t>
    </r>
  </si>
  <si>
    <t>4/5G微室分设备</t>
  </si>
  <si>
    <t>WDAS-1835</t>
  </si>
  <si>
    <r>
      <rPr>
        <sz val="9"/>
        <color theme="1"/>
        <rFont val="宋体"/>
        <charset val="134"/>
      </rPr>
      <t>按</t>
    </r>
    <r>
      <rPr>
        <sz val="9"/>
        <color theme="1"/>
        <rFont val="Times New Roman"/>
        <charset val="134"/>
      </rPr>
      <t>4/5G</t>
    </r>
    <r>
      <rPr>
        <sz val="9"/>
        <color theme="1"/>
        <rFont val="宋体"/>
        <charset val="134"/>
      </rPr>
      <t>双模微室分设备测试规范书进行检测</t>
    </r>
  </si>
  <si>
    <t>IT-25-0129</t>
  </si>
  <si>
    <r>
      <rPr>
        <sz val="9"/>
        <color theme="1"/>
        <rFont val="宋体"/>
        <charset val="134"/>
      </rPr>
      <t>中国电信股份有限公司广州艾特实验室</t>
    </r>
    <r>
      <rPr>
        <sz val="9"/>
        <color theme="1"/>
        <rFont val="Times New Roman"/>
        <charset val="134"/>
      </rPr>
      <t xml:space="preserve">
</t>
    </r>
    <r>
      <rPr>
        <sz val="9"/>
        <color theme="1"/>
        <rFont val="宋体"/>
        <charset val="134"/>
      </rPr>
      <t>信息产业广州电话交换设备质量监督检验中心</t>
    </r>
    <r>
      <rPr>
        <sz val="9"/>
        <color theme="1"/>
        <rFont val="Times New Roman"/>
        <charset val="134"/>
      </rPr>
      <t xml:space="preserve">
</t>
    </r>
    <r>
      <rPr>
        <sz val="9"/>
        <color theme="1"/>
        <rFont val="宋体"/>
        <charset val="134"/>
      </rPr>
      <t>信息产业通信产品防护性能质量监督检验中心</t>
    </r>
  </si>
  <si>
    <t>振动委托测试</t>
  </si>
  <si>
    <t>5G FEMTO</t>
  </si>
  <si>
    <t>SBR11222</t>
  </si>
  <si>
    <r>
      <rPr>
        <sz val="9"/>
        <color theme="1"/>
        <rFont val="宋体"/>
        <charset val="134"/>
      </rPr>
      <t>振动委托测试</t>
    </r>
    <r>
      <rPr>
        <sz val="9"/>
        <color theme="1"/>
        <rFont val="Times New Roman"/>
        <charset val="134"/>
      </rPr>
      <t xml:space="preserve">
Temperature: 30.9℃~32.6℃
Relative Humidity: 51%~72%
Atmospheric pressure:100.6kPa~101.4kPa
According to ETSI EN 300 019-2-2:2017.
1.1.1 Frequency range: 5Hz to 200Hz;
1.1.2 Acceleration:10m/s²,Scanning frequency:1 Oct/min;
1.1.3 Test duration: 1 hour for each of the X, Y, and Z axes.
Note: The frequency range and test duration are provided by the client.</t>
    </r>
  </si>
  <si>
    <t>H202504013547-01EN</t>
  </si>
  <si>
    <r>
      <rPr>
        <sz val="9"/>
        <rFont val="宋体"/>
        <charset val="134"/>
      </rPr>
      <t>广电计量检测集团股份有限公司（</t>
    </r>
    <r>
      <rPr>
        <sz val="10"/>
        <rFont val="Arial"/>
        <charset val="134"/>
      </rPr>
      <t>GRG METROLOGY &amp; TEST GROUP CO.,LTD.</t>
    </r>
    <r>
      <rPr>
        <sz val="10"/>
        <rFont val="宋体"/>
        <charset val="134"/>
      </rPr>
      <t>）</t>
    </r>
  </si>
  <si>
    <r>
      <rPr>
        <sz val="9"/>
        <color theme="1"/>
        <rFont val="Times New Roman"/>
        <charset val="134"/>
      </rPr>
      <t xml:space="preserve">SBR21219 </t>
    </r>
    <r>
      <rPr>
        <sz val="9"/>
        <color theme="1"/>
        <rFont val="宋体"/>
        <charset val="134"/>
      </rPr>
      <t>检测报告</t>
    </r>
  </si>
  <si>
    <t>一体化5G大功率基站</t>
  </si>
  <si>
    <t>SBR21219</t>
  </si>
  <si>
    <r>
      <rPr>
        <sz val="9"/>
        <color theme="1"/>
        <rFont val="Times New Roman"/>
        <charset val="134"/>
      </rPr>
      <t>1</t>
    </r>
    <r>
      <rPr>
        <sz val="9"/>
        <color theme="1"/>
        <rFont val="宋体"/>
        <charset val="134"/>
      </rPr>
      <t>、</t>
    </r>
    <r>
      <rPr>
        <sz val="9"/>
        <color theme="1"/>
        <rFont val="Times New Roman"/>
        <charset val="134"/>
      </rPr>
      <t>GB4943.1-2022</t>
    </r>
    <r>
      <rPr>
        <sz val="9"/>
        <color theme="1"/>
        <rFont val="宋体"/>
        <charset val="134"/>
      </rPr>
      <t>《音视频、信息技术和通信技术设备第</t>
    </r>
    <r>
      <rPr>
        <sz val="9"/>
        <color theme="1"/>
        <rFont val="Times New Roman"/>
        <charset val="134"/>
      </rPr>
      <t>1</t>
    </r>
    <r>
      <rPr>
        <sz val="9"/>
        <color theme="1"/>
        <rFont val="宋体"/>
        <charset val="134"/>
      </rPr>
      <t>部分：安全要求》</t>
    </r>
    <r>
      <rPr>
        <sz val="9"/>
        <color theme="1"/>
        <rFont val="Times New Roman"/>
        <charset val="134"/>
      </rPr>
      <t xml:space="preserve">
2</t>
    </r>
    <r>
      <rPr>
        <sz val="9"/>
        <color theme="1"/>
        <rFont val="宋体"/>
        <charset val="134"/>
      </rPr>
      <t>、委托方要求：委托方仅要求评估《试验项目汇总表》中适用的测试项</t>
    </r>
  </si>
  <si>
    <t>广州弘诺检测技术有限公司</t>
  </si>
  <si>
    <t>软件测试报告</t>
  </si>
  <si>
    <t>5GNRmmWave基站物理层软件V1.0</t>
  </si>
  <si>
    <r>
      <rPr>
        <sz val="9"/>
        <color theme="1"/>
        <rFont val="宋体"/>
        <charset val="134"/>
      </rPr>
      <t>产品类型：应用软件</t>
    </r>
    <r>
      <rPr>
        <sz val="9"/>
        <color theme="1"/>
        <rFont val="Times New Roman"/>
        <charset val="134"/>
      </rPr>
      <t>-</t>
    </r>
    <r>
      <rPr>
        <sz val="9"/>
        <color theme="1"/>
        <rFont val="宋体"/>
        <charset val="134"/>
      </rPr>
      <t>网络应用软件</t>
    </r>
    <r>
      <rPr>
        <sz val="9"/>
        <color theme="1"/>
        <rFont val="Times New Roman"/>
        <charset val="134"/>
      </rPr>
      <t xml:space="preserve">
</t>
    </r>
    <r>
      <rPr>
        <sz val="9"/>
        <color theme="1"/>
        <rFont val="宋体"/>
        <charset val="134"/>
      </rPr>
      <t>软件类别：非嵌入式软件</t>
    </r>
    <r>
      <rPr>
        <sz val="9"/>
        <color theme="1"/>
        <rFont val="Times New Roman"/>
        <charset val="134"/>
      </rPr>
      <t xml:space="preserve">
</t>
    </r>
    <r>
      <rPr>
        <sz val="9"/>
        <color theme="1"/>
        <rFont val="宋体"/>
        <charset val="134"/>
      </rPr>
      <t>测试类别：软件产品登记测试</t>
    </r>
  </si>
  <si>
    <t>22004572MM0270CRT30</t>
  </si>
  <si>
    <t>中国赛宝实验室</t>
  </si>
  <si>
    <r>
      <rPr>
        <sz val="9"/>
        <color theme="1"/>
        <rFont val="Times New Roman"/>
        <charset val="134"/>
      </rPr>
      <t xml:space="preserve">5G NR SA </t>
    </r>
    <r>
      <rPr>
        <sz val="9"/>
        <color theme="1"/>
        <rFont val="宋体"/>
        <charset val="134"/>
      </rPr>
      <t>基站协议栈软件</t>
    </r>
    <r>
      <rPr>
        <sz val="9"/>
        <color theme="1"/>
        <rFont val="Times New Roman"/>
        <charset val="134"/>
      </rPr>
      <t>[</t>
    </r>
    <r>
      <rPr>
        <sz val="9"/>
        <color theme="1"/>
        <rFont val="宋体"/>
        <charset val="134"/>
      </rPr>
      <t>简称：</t>
    </r>
    <r>
      <rPr>
        <sz val="9"/>
        <color theme="1"/>
        <rFont val="Times New Roman"/>
        <charset val="134"/>
      </rPr>
      <t>5G NR SA</t>
    </r>
    <r>
      <rPr>
        <sz val="9"/>
        <color theme="1"/>
        <rFont val="宋体"/>
        <charset val="134"/>
      </rPr>
      <t>软件</t>
    </r>
    <r>
      <rPr>
        <sz val="9"/>
        <color theme="1"/>
        <rFont val="Times New Roman"/>
        <charset val="134"/>
      </rPr>
      <t>]</t>
    </r>
  </si>
  <si>
    <r>
      <rPr>
        <sz val="9"/>
        <color theme="1"/>
        <rFont val="宋体"/>
        <charset val="134"/>
      </rPr>
      <t>产品类型：支持软件-网络通信软件</t>
    </r>
    <r>
      <rPr>
        <sz val="9"/>
        <color theme="1"/>
        <rFont val="Times New Roman"/>
        <charset val="134"/>
      </rPr>
      <t xml:space="preserve">
</t>
    </r>
    <r>
      <rPr>
        <sz val="9"/>
        <color theme="1"/>
        <rFont val="宋体"/>
        <charset val="134"/>
      </rPr>
      <t>软件类别：非嵌入式软件</t>
    </r>
    <r>
      <rPr>
        <sz val="9"/>
        <color theme="1"/>
        <rFont val="Times New Roman"/>
        <charset val="134"/>
      </rPr>
      <t xml:space="preserve">
</t>
    </r>
    <r>
      <rPr>
        <sz val="9"/>
        <color theme="1"/>
        <rFont val="宋体"/>
        <charset val="134"/>
      </rPr>
      <t>测试类别：软件产品登记测试</t>
    </r>
  </si>
  <si>
    <t>20000059MM0301CRT30</t>
  </si>
  <si>
    <r>
      <rPr>
        <sz val="9"/>
        <color theme="1"/>
        <rFont val="Times New Roman"/>
        <charset val="134"/>
      </rPr>
      <t>SBBA122D</t>
    </r>
    <r>
      <rPr>
        <sz val="9"/>
        <color theme="1"/>
        <rFont val="宋体"/>
        <charset val="134"/>
      </rPr>
      <t>（</t>
    </r>
    <r>
      <rPr>
        <sz val="9"/>
        <color theme="1"/>
        <rFont val="Times New Roman"/>
        <charset val="134"/>
      </rPr>
      <t>FD1</t>
    </r>
    <r>
      <rPr>
        <sz val="9"/>
        <color theme="1"/>
        <rFont val="宋体"/>
        <charset val="134"/>
      </rPr>
      <t>）检测报告</t>
    </r>
  </si>
  <si>
    <r>
      <rPr>
        <sz val="9"/>
        <color theme="1"/>
        <rFont val="Times New Roman"/>
        <charset val="134"/>
      </rPr>
      <t>5G</t>
    </r>
    <r>
      <rPr>
        <sz val="9"/>
        <color theme="1"/>
        <rFont val="宋体"/>
        <charset val="134"/>
      </rPr>
      <t>双频大功率多载频功放基站放大拉远系统</t>
    </r>
  </si>
  <si>
    <r>
      <rPr>
        <sz val="9"/>
        <color theme="1"/>
        <rFont val="Times New Roman"/>
        <charset val="134"/>
      </rPr>
      <t>SBBA122D</t>
    </r>
    <r>
      <rPr>
        <sz val="9"/>
        <color theme="1"/>
        <rFont val="宋体"/>
        <charset val="134"/>
      </rPr>
      <t>（</t>
    </r>
    <r>
      <rPr>
        <sz val="9"/>
        <color theme="1"/>
        <rFont val="Times New Roman"/>
        <charset val="134"/>
      </rPr>
      <t>FD1</t>
    </r>
    <r>
      <rPr>
        <sz val="9"/>
        <color theme="1"/>
        <rFont val="宋体"/>
        <charset val="134"/>
      </rPr>
      <t>）</t>
    </r>
  </si>
  <si>
    <r>
      <rPr>
        <sz val="9"/>
        <color theme="1"/>
        <rFont val="宋体"/>
        <charset val="134"/>
      </rPr>
      <t>无线技术指标</t>
    </r>
    <r>
      <rPr>
        <sz val="9"/>
        <color theme="1"/>
        <rFont val="Times New Roman"/>
        <charset val="134"/>
      </rPr>
      <t xml:space="preserve">:
</t>
    </r>
    <r>
      <rPr>
        <sz val="9"/>
        <color theme="1"/>
        <rFont val="宋体"/>
        <charset val="134"/>
      </rPr>
      <t>工作频段</t>
    </r>
    <r>
      <rPr>
        <sz val="9"/>
        <color theme="1"/>
        <rFont val="Times New Roman"/>
        <charset val="134"/>
      </rPr>
      <t>:NR:</t>
    </r>
    <r>
      <rPr>
        <sz val="9"/>
        <color theme="1"/>
        <rFont val="宋体"/>
        <charset val="134"/>
      </rPr>
      <t>上行</t>
    </r>
    <r>
      <rPr>
        <sz val="9"/>
        <color theme="1"/>
        <rFont val="Times New Roman"/>
        <charset val="134"/>
      </rPr>
      <t>703MHz~748MHz/</t>
    </r>
    <r>
      <rPr>
        <sz val="9"/>
        <color theme="1"/>
        <rFont val="宋体"/>
        <charset val="134"/>
      </rPr>
      <t>下行</t>
    </r>
    <r>
      <rPr>
        <sz val="9"/>
        <color theme="1"/>
        <rFont val="Times New Roman"/>
        <charset val="134"/>
      </rPr>
      <t>758MHz~803MHz
LTE:</t>
    </r>
    <r>
      <rPr>
        <sz val="9"/>
        <color theme="1"/>
        <rFont val="宋体"/>
        <charset val="134"/>
      </rPr>
      <t>上行</t>
    </r>
    <r>
      <rPr>
        <sz val="9"/>
        <color theme="1"/>
        <rFont val="Times New Roman"/>
        <charset val="134"/>
      </rPr>
      <t>889MHz~904MHz/</t>
    </r>
    <r>
      <rPr>
        <sz val="9"/>
        <color theme="1"/>
        <rFont val="宋体"/>
        <charset val="134"/>
      </rPr>
      <t>下行</t>
    </r>
    <r>
      <rPr>
        <sz val="9"/>
        <color theme="1"/>
        <rFont val="Times New Roman"/>
        <charset val="134"/>
      </rPr>
      <t xml:space="preserve"> 934MHz~949MHz
</t>
    </r>
    <r>
      <rPr>
        <sz val="9"/>
        <color theme="1"/>
        <rFont val="宋体"/>
        <charset val="134"/>
      </rPr>
      <t>标称功率</t>
    </r>
    <r>
      <rPr>
        <sz val="9"/>
        <color theme="1"/>
        <rFont val="Times New Roman"/>
        <charset val="134"/>
      </rPr>
      <t>:NR:40W(46dBm)/</t>
    </r>
    <r>
      <rPr>
        <sz val="9"/>
        <color theme="1"/>
        <rFont val="宋体"/>
        <charset val="134"/>
      </rPr>
      <t xml:space="preserve">通道
</t>
    </r>
    <r>
      <rPr>
        <sz val="9"/>
        <color theme="1"/>
        <rFont val="Times New Roman"/>
        <charset val="134"/>
      </rPr>
      <t>LTE:40W(46dBm)/</t>
    </r>
    <r>
      <rPr>
        <sz val="9"/>
        <color theme="1"/>
        <rFont val="宋体"/>
        <charset val="134"/>
      </rPr>
      <t>通道</t>
    </r>
  </si>
  <si>
    <t>10-26-WT034</t>
  </si>
  <si>
    <t>信息产业无线通信产品质量监督检验中心</t>
  </si>
  <si>
    <t>电子版</t>
  </si>
  <si>
    <r>
      <rPr>
        <sz val="9"/>
        <color theme="1"/>
        <rFont val="Times New Roman"/>
        <charset val="134"/>
      </rPr>
      <t>SBBA122D</t>
    </r>
    <r>
      <rPr>
        <sz val="9"/>
        <color theme="1"/>
        <rFont val="宋体"/>
        <charset val="134"/>
      </rPr>
      <t>（</t>
    </r>
    <r>
      <rPr>
        <sz val="9"/>
        <color theme="1"/>
        <rFont val="Times New Roman"/>
        <charset val="134"/>
      </rPr>
      <t>FD2</t>
    </r>
    <r>
      <rPr>
        <sz val="9"/>
        <color theme="1"/>
        <rFont val="宋体"/>
        <charset val="134"/>
      </rPr>
      <t>）检测报告</t>
    </r>
  </si>
  <si>
    <r>
      <rPr>
        <sz val="9"/>
        <color theme="1"/>
        <rFont val="Times New Roman"/>
        <charset val="134"/>
      </rPr>
      <t>SBBA122D</t>
    </r>
    <r>
      <rPr>
        <sz val="9"/>
        <color theme="1"/>
        <rFont val="宋体"/>
        <charset val="134"/>
      </rPr>
      <t>（</t>
    </r>
    <r>
      <rPr>
        <sz val="9"/>
        <color theme="1"/>
        <rFont val="Times New Roman"/>
        <charset val="134"/>
      </rPr>
      <t>FD2</t>
    </r>
    <r>
      <rPr>
        <sz val="9"/>
        <color theme="1"/>
        <rFont val="宋体"/>
        <charset val="134"/>
      </rPr>
      <t>）</t>
    </r>
  </si>
  <si>
    <r>
      <rPr>
        <sz val="9"/>
        <color theme="1"/>
        <rFont val="宋体"/>
        <charset val="134"/>
      </rPr>
      <t>无线技术指标</t>
    </r>
    <r>
      <rPr>
        <sz val="9"/>
        <color theme="1"/>
        <rFont val="Times New Roman"/>
        <charset val="134"/>
      </rPr>
      <t xml:space="preserve">:
</t>
    </r>
    <r>
      <rPr>
        <sz val="9"/>
        <color theme="1"/>
        <rFont val="宋体"/>
        <charset val="134"/>
      </rPr>
      <t>工作频段</t>
    </r>
    <r>
      <rPr>
        <sz val="9"/>
        <color theme="1"/>
        <rFont val="Times New Roman"/>
        <charset val="134"/>
      </rPr>
      <t>:NR:2515MHz~2675MHz
LTE:</t>
    </r>
    <r>
      <rPr>
        <sz val="9"/>
        <color theme="1"/>
        <rFont val="宋体"/>
        <charset val="134"/>
      </rPr>
      <t>上行</t>
    </r>
    <r>
      <rPr>
        <sz val="9"/>
        <color theme="1"/>
        <rFont val="Times New Roman"/>
        <charset val="134"/>
      </rPr>
      <t xml:space="preserve"> 1710MHz~1735MHz/</t>
    </r>
    <r>
      <rPr>
        <sz val="9"/>
        <color theme="1"/>
        <rFont val="宋体"/>
        <charset val="134"/>
      </rPr>
      <t>下行</t>
    </r>
    <r>
      <rPr>
        <sz val="9"/>
        <color theme="1"/>
        <rFont val="Times New Roman"/>
        <charset val="134"/>
      </rPr>
      <t xml:space="preserve"> 1805MHz~1830MHz
</t>
    </r>
    <r>
      <rPr>
        <sz val="9"/>
        <color theme="1"/>
        <rFont val="宋体"/>
        <charset val="134"/>
      </rPr>
      <t>标称功率</t>
    </r>
    <r>
      <rPr>
        <sz val="9"/>
        <color theme="1"/>
        <rFont val="Times New Roman"/>
        <charset val="134"/>
      </rPr>
      <t>:NR:60W(48dBm)/</t>
    </r>
    <r>
      <rPr>
        <sz val="9"/>
        <color theme="1"/>
        <rFont val="宋体"/>
        <charset val="134"/>
      </rPr>
      <t xml:space="preserve">通道
</t>
    </r>
    <r>
      <rPr>
        <sz val="9"/>
        <color theme="1"/>
        <rFont val="Times New Roman"/>
        <charset val="134"/>
      </rPr>
      <t>LTE:30W(45dBm)/</t>
    </r>
    <r>
      <rPr>
        <sz val="9"/>
        <color theme="1"/>
        <rFont val="宋体"/>
        <charset val="134"/>
      </rPr>
      <t>通道</t>
    </r>
  </si>
  <si>
    <t>10-26-WT035</t>
  </si>
  <si>
    <t>测试证明函</t>
  </si>
  <si>
    <t>、SBBA122D（FD2）</t>
  </si>
  <si>
    <t>申请日期</t>
  </si>
  <si>
    <t>商标</t>
  </si>
  <si>
    <t>商标名称</t>
  </si>
  <si>
    <t>注册号</t>
  </si>
  <si>
    <t>国际分类</t>
  </si>
  <si>
    <t>商标状态</t>
  </si>
  <si>
    <t>注册公告日期</t>
  </si>
  <si>
    <t>失效日期</t>
  </si>
  <si>
    <t>SAGERAN UNITY</t>
  </si>
  <si>
    <r>
      <rPr>
        <sz val="11"/>
        <color theme="1"/>
        <rFont val="Times New Roman"/>
        <charset val="134"/>
      </rPr>
      <t>38</t>
    </r>
    <r>
      <rPr>
        <sz val="11"/>
        <color theme="1"/>
        <rFont val="微软雅黑"/>
        <charset val="134"/>
      </rPr>
      <t>类</t>
    </r>
    <r>
      <rPr>
        <sz val="11"/>
        <color theme="1"/>
        <rFont val="Times New Roman"/>
        <charset val="134"/>
      </rPr>
      <t>-</t>
    </r>
    <r>
      <rPr>
        <sz val="11"/>
        <color theme="1"/>
        <rFont val="微软雅黑"/>
        <charset val="134"/>
      </rPr>
      <t>通讯服务</t>
    </r>
  </si>
  <si>
    <r>
      <rPr>
        <sz val="11"/>
        <color theme="1"/>
        <rFont val="微软雅黑"/>
        <charset val="134"/>
      </rPr>
      <t>等待实质审查</t>
    </r>
  </si>
  <si>
    <t>否</t>
  </si>
  <si>
    <t>SAGERAN XLINK</t>
  </si>
  <si>
    <r>
      <rPr>
        <sz val="11"/>
        <color theme="1"/>
        <rFont val="Times New Roman"/>
        <charset val="134"/>
      </rPr>
      <t>09</t>
    </r>
    <r>
      <rPr>
        <sz val="11"/>
        <color theme="1"/>
        <rFont val="微软雅黑"/>
        <charset val="134"/>
      </rPr>
      <t>类</t>
    </r>
    <r>
      <rPr>
        <sz val="11"/>
        <color theme="1"/>
        <rFont val="Times New Roman"/>
        <charset val="134"/>
      </rPr>
      <t>-</t>
    </r>
    <r>
      <rPr>
        <sz val="11"/>
        <color theme="1"/>
        <rFont val="微软雅黑"/>
        <charset val="134"/>
      </rPr>
      <t>科学仪器</t>
    </r>
  </si>
  <si>
    <r>
      <rPr>
        <sz val="11"/>
        <color theme="1"/>
        <rFont val="微软雅黑"/>
        <charset val="134"/>
      </rPr>
      <t>商标已注册</t>
    </r>
  </si>
  <si>
    <t>SAGERAN ENGINE</t>
  </si>
  <si>
    <r>
      <rPr>
        <sz val="11"/>
        <color theme="1"/>
        <rFont val="Times New Roman"/>
        <charset val="134"/>
      </rPr>
      <t>42</t>
    </r>
    <r>
      <rPr>
        <sz val="11"/>
        <color theme="1"/>
        <rFont val="微软雅黑"/>
        <charset val="134"/>
      </rPr>
      <t>类</t>
    </r>
    <r>
      <rPr>
        <sz val="11"/>
        <color theme="1"/>
        <rFont val="Times New Roman"/>
        <charset val="134"/>
      </rPr>
      <t>-</t>
    </r>
    <r>
      <rPr>
        <sz val="11"/>
        <color theme="1"/>
        <rFont val="微软雅黑"/>
        <charset val="134"/>
      </rPr>
      <t>网站服务</t>
    </r>
  </si>
  <si>
    <r>
      <rPr>
        <sz val="11"/>
        <color theme="1"/>
        <rFont val="Times New Roman"/>
        <charset val="134"/>
      </rPr>
      <t>35</t>
    </r>
    <r>
      <rPr>
        <sz val="11"/>
        <color theme="1"/>
        <rFont val="微软雅黑"/>
        <charset val="134"/>
      </rPr>
      <t>类</t>
    </r>
    <r>
      <rPr>
        <sz val="11"/>
        <color theme="1"/>
        <rFont val="Times New Roman"/>
        <charset val="134"/>
      </rPr>
      <t>-</t>
    </r>
    <r>
      <rPr>
        <sz val="11"/>
        <color theme="1"/>
        <rFont val="微软雅黑"/>
        <charset val="134"/>
      </rPr>
      <t>广告销售</t>
    </r>
  </si>
  <si>
    <t>SAGERAN TURBO</t>
  </si>
  <si>
    <t>是</t>
  </si>
  <si>
    <r>
      <rPr>
        <sz val="11"/>
        <color theme="1"/>
        <rFont val="微软雅黑"/>
        <charset val="134"/>
      </rPr>
      <t>商标无效</t>
    </r>
  </si>
  <si>
    <r>
      <rPr>
        <sz val="11"/>
        <color theme="1"/>
        <rFont val="微软雅黑"/>
        <charset val="134"/>
      </rPr>
      <t>初审公告</t>
    </r>
  </si>
  <si>
    <t>SAGERAN</t>
  </si>
  <si>
    <r>
      <rPr>
        <sz val="11"/>
        <color theme="1"/>
        <rFont val="Times New Roman"/>
        <charset val="134"/>
      </rPr>
      <t>12</t>
    </r>
    <r>
      <rPr>
        <sz val="11"/>
        <color theme="1"/>
        <rFont val="微软雅黑"/>
        <charset val="134"/>
      </rPr>
      <t>类</t>
    </r>
    <r>
      <rPr>
        <sz val="11"/>
        <color theme="1"/>
        <rFont val="Times New Roman"/>
        <charset val="134"/>
      </rPr>
      <t>-</t>
    </r>
    <r>
      <rPr>
        <sz val="11"/>
        <color theme="1"/>
        <rFont val="微软雅黑"/>
        <charset val="134"/>
      </rPr>
      <t>运输工具</t>
    </r>
  </si>
  <si>
    <r>
      <rPr>
        <sz val="11"/>
        <color theme="1"/>
        <rFont val="微软雅黑"/>
        <charset val="134"/>
      </rPr>
      <t>世炬</t>
    </r>
  </si>
  <si>
    <t>属性</t>
  </si>
  <si>
    <t>类别</t>
  </si>
  <si>
    <r>
      <rPr>
        <b/>
        <sz val="9"/>
        <color rgb="FF000000"/>
        <rFont val="宋体"/>
        <charset val="134"/>
      </rPr>
      <t>型号</t>
    </r>
    <r>
      <rPr>
        <b/>
        <sz val="9"/>
        <color rgb="FF000000"/>
        <rFont val="Times New Roman"/>
        <charset val="134"/>
      </rPr>
      <t>/</t>
    </r>
    <r>
      <rPr>
        <b/>
        <sz val="9"/>
        <color rgb="FF000000"/>
        <rFont val="宋体"/>
        <charset val="134"/>
      </rPr>
      <t>地址/内容</t>
    </r>
  </si>
  <si>
    <t>品牌</t>
  </si>
  <si>
    <r>
      <rPr>
        <b/>
        <sz val="9"/>
        <color rgb="FF000000"/>
        <rFont val="宋体"/>
        <charset val="134"/>
      </rPr>
      <t>面积</t>
    </r>
    <r>
      <rPr>
        <b/>
        <sz val="9"/>
        <color rgb="FF000000"/>
        <rFont val="Times New Roman"/>
        <charset val="134"/>
      </rPr>
      <t>/</t>
    </r>
    <r>
      <rPr>
        <b/>
        <sz val="9"/>
        <color rgb="FF000000"/>
        <rFont val="宋体"/>
        <charset val="134"/>
      </rPr>
      <t>数量</t>
    </r>
  </si>
  <si>
    <t>性质</t>
  </si>
  <si>
    <r>
      <rPr>
        <b/>
        <sz val="9"/>
        <color rgb="FF000000"/>
        <rFont val="宋体"/>
        <charset val="134"/>
      </rPr>
      <t>租</t>
    </r>
    <r>
      <rPr>
        <b/>
        <sz val="9"/>
        <color rgb="FF000000"/>
        <rFont val="Times New Roman"/>
        <charset val="134"/>
      </rPr>
      <t>/</t>
    </r>
    <r>
      <rPr>
        <b/>
        <sz val="9"/>
        <color rgb="FF000000"/>
        <rFont val="宋体"/>
        <charset val="134"/>
      </rPr>
      <t>购买日期</t>
    </r>
  </si>
  <si>
    <t>有效日期</t>
  </si>
  <si>
    <t>是否有合同</t>
  </si>
  <si>
    <t>是否有发票</t>
  </si>
  <si>
    <t>租赁</t>
  </si>
  <si>
    <t>办公场地</t>
  </si>
  <si>
    <t>湖南世炬租赁合同、发票</t>
  </si>
  <si>
    <r>
      <rPr>
        <sz val="9"/>
        <color rgb="FF000000"/>
        <rFont val="宋体"/>
        <charset val="134"/>
      </rPr>
      <t>长沙岳麓街道潇湘中路</t>
    </r>
    <r>
      <rPr>
        <sz val="9"/>
        <color rgb="FF000000"/>
        <rFont val="Times New Roman"/>
        <charset val="134"/>
      </rPr>
      <t>328</t>
    </r>
    <r>
      <rPr>
        <sz val="9"/>
        <color rgb="FF000000"/>
        <rFont val="宋体"/>
        <charset val="134"/>
      </rPr>
      <t>号麓枫和苑</t>
    </r>
    <r>
      <rPr>
        <sz val="9"/>
        <color rgb="FF000000"/>
        <rFont val="Times New Roman"/>
        <charset val="134"/>
      </rPr>
      <t>33</t>
    </r>
    <r>
      <rPr>
        <sz val="9"/>
        <color rgb="FF000000"/>
        <rFont val="宋体"/>
        <charset val="134"/>
      </rPr>
      <t>号栋</t>
    </r>
    <r>
      <rPr>
        <sz val="9"/>
        <color rgb="FF000000"/>
        <rFont val="Times New Roman"/>
        <charset val="134"/>
      </rPr>
      <t>5G</t>
    </r>
    <r>
      <rPr>
        <sz val="9"/>
        <color rgb="FF000000"/>
        <rFont val="宋体"/>
        <charset val="134"/>
      </rPr>
      <t>加速港</t>
    </r>
    <r>
      <rPr>
        <sz val="9"/>
        <color rgb="FF000000"/>
        <rFont val="Times New Roman"/>
        <charset val="134"/>
      </rPr>
      <t>3</t>
    </r>
    <r>
      <rPr>
        <sz val="9"/>
        <color rgb="FF000000"/>
        <rFont val="宋体"/>
        <charset val="134"/>
      </rPr>
      <t>楼</t>
    </r>
    <r>
      <rPr>
        <sz val="9"/>
        <color rgb="FF000000"/>
        <rFont val="Times New Roman"/>
        <charset val="134"/>
      </rPr>
      <t>304</t>
    </r>
    <r>
      <rPr>
        <sz val="9"/>
        <color rgb="FF000000"/>
        <rFont val="宋体"/>
        <charset val="134"/>
      </rPr>
      <t>号房</t>
    </r>
  </si>
  <si>
    <t>无</t>
  </si>
  <si>
    <t>云升租赁合同、发票</t>
  </si>
  <si>
    <t>广州市黄埔区光谱中路11号云升科学园</t>
  </si>
  <si>
    <t>采购</t>
  </si>
  <si>
    <t>生产及研发设备</t>
  </si>
  <si>
    <t>生产线流程及自动化水平</t>
  </si>
  <si>
    <r>
      <rPr>
        <sz val="9"/>
        <color rgb="FF000000"/>
        <rFont val="宋体"/>
        <charset val="134"/>
      </rPr>
      <t>型号：</t>
    </r>
    <r>
      <rPr>
        <sz val="9"/>
        <color rgb="FF000000"/>
        <rFont val="Times New Roman"/>
        <charset val="134"/>
      </rPr>
      <t xml:space="preserve">N5182B
</t>
    </r>
    <r>
      <rPr>
        <sz val="9"/>
        <color rgb="FF000000"/>
        <rFont val="宋体"/>
        <charset val="134"/>
      </rPr>
      <t>内含：自动化测试系统、生产自动化方案、生产线流程管理方案及扩皮</t>
    </r>
    <r>
      <rPr>
        <sz val="9"/>
        <color rgb="FF000000"/>
        <rFont val="Times New Roman"/>
        <charset val="134"/>
      </rPr>
      <t>/</t>
    </r>
    <r>
      <rPr>
        <sz val="9"/>
        <color rgb="FF000000"/>
        <rFont val="宋体"/>
        <charset val="134"/>
      </rPr>
      <t>一体化设备生产流程</t>
    </r>
  </si>
  <si>
    <t>KEYSIGHT</t>
  </si>
  <si>
    <t>购置</t>
  </si>
  <si>
    <t>自编资料</t>
  </si>
  <si>
    <r>
      <rPr>
        <sz val="9"/>
        <color rgb="FF000000"/>
        <rFont val="Times New Roman"/>
        <charset val="134"/>
      </rPr>
      <t>5G</t>
    </r>
    <r>
      <rPr>
        <sz val="9"/>
        <color rgb="FF000000"/>
        <rFont val="宋体"/>
        <charset val="134"/>
      </rPr>
      <t>频谱仪</t>
    </r>
  </si>
  <si>
    <t>N9020B</t>
  </si>
  <si>
    <t>网络分析仪</t>
  </si>
  <si>
    <t>E5071C</t>
  </si>
  <si>
    <t>老化房</t>
  </si>
  <si>
    <t>定制</t>
  </si>
  <si>
    <t>高盛</t>
  </si>
  <si>
    <t>高低温试验设备</t>
  </si>
  <si>
    <t>HG-04KA</t>
  </si>
  <si>
    <t>广州五所</t>
  </si>
  <si>
    <t>自动测试系统</t>
  </si>
  <si>
    <t>自研</t>
  </si>
  <si>
    <t>世炬</t>
  </si>
  <si>
    <r>
      <rPr>
        <sz val="9"/>
        <color rgb="FF000000"/>
        <rFont val="Times New Roman"/>
        <charset val="134"/>
      </rPr>
      <t>2022</t>
    </r>
    <r>
      <rPr>
        <sz val="9"/>
        <color rgb="FF000000"/>
        <rFont val="宋体"/>
        <charset val="134"/>
      </rPr>
      <t>年</t>
    </r>
  </si>
  <si>
    <t>标准号</t>
  </si>
  <si>
    <t>标准级别</t>
  </si>
  <si>
    <t>标准名称</t>
  </si>
  <si>
    <t>起草单位</t>
  </si>
  <si>
    <t>实施日期</t>
  </si>
  <si>
    <t>适用范围</t>
  </si>
  <si>
    <t>批准发布部门</t>
  </si>
  <si>
    <t>归口单位</t>
  </si>
  <si>
    <t>国际标准分类号</t>
  </si>
  <si>
    <r>
      <rPr>
        <sz val="10.5"/>
        <rFont val="宋体"/>
        <charset val="134"/>
      </rPr>
      <t>行业</t>
    </r>
    <r>
      <rPr>
        <sz val="10.5"/>
        <rFont val="Arial"/>
        <charset val="134"/>
      </rPr>
      <t>/</t>
    </r>
    <r>
      <rPr>
        <sz val="10.5"/>
        <rFont val="宋体"/>
        <charset val="134"/>
      </rPr>
      <t>国民经济分类</t>
    </r>
  </si>
  <si>
    <t>备案日期</t>
  </si>
  <si>
    <t>备案号</t>
  </si>
  <si>
    <t>YD/T 6536-2025</t>
  </si>
  <si>
    <t>行业标准</t>
  </si>
  <si>
    <r>
      <rPr>
        <sz val="10.5"/>
        <rFont val="Arial"/>
        <charset val="134"/>
      </rPr>
      <t>5G</t>
    </r>
    <r>
      <rPr>
        <sz val="10.5"/>
        <rFont val="宋体"/>
        <charset val="134"/>
      </rPr>
      <t>数字蜂窝移动通信网</t>
    </r>
    <r>
      <rPr>
        <sz val="10.5"/>
        <rFont val="Arial"/>
        <charset val="134"/>
      </rPr>
      <t xml:space="preserve"> </t>
    </r>
    <r>
      <rPr>
        <sz val="10.5"/>
        <rFont val="宋体"/>
        <charset val="134"/>
      </rPr>
      <t>轻量化（</t>
    </r>
    <r>
      <rPr>
        <sz val="10.5"/>
        <rFont val="Arial"/>
        <charset val="134"/>
      </rPr>
      <t>RedCap</t>
    </r>
    <r>
      <rPr>
        <sz val="10.5"/>
        <rFont val="宋体"/>
        <charset val="134"/>
      </rPr>
      <t>）终端设备技术要求（第一阶段）</t>
    </r>
  </si>
  <si>
    <t>中国信息通信研究院、中国联合网络通信集团有限公司、中国移动通信集团有限公司、中国电信集团有限公司、博鼎实华(北京)技术有限公司、深圳市海思半导体有限公司、北京紫光展锐通信技术有限公司、翱捷科技股份有限公司、高通无线通信技术(中国)有限公司、联发博动科技(北京)有限公司、华为终端有限公司、中兴通讯股份有限公司、OPPO广东移动通信有限公司、维沃移动通信有限公司、北京小米移动软件有限公司、荣耀终端有限公司、北京三星通信技术研究有限公司、中国广播电视网络集团有限公司、北京智芯微电子科技有限公司、佰路威科技(北京)有限公司、鼎桥通信技术有限公司、苹果研发(北京)有限公司、中国信息通信科技集团有限公司、华为技术有限公司、爱立信(中国)通信有限公司、新华三技术有限公司、归芯科技(深圳)有限公司、国网信息通信产业集团有限公司、上海星思半导体有限责任公司、上海新基讯通信技术有限公司、青岛海信通信有限公司、浪潮通信技术有限公司、芯讯通无线科技(上海)有限公司、深圳市中兴微电子技术有限公司、中电科思仪科技(安徽)有限公司、国家无线电监测中心检测中心、中讯邮电咨询设计院有限公司、深圳信息通信研究院、广东世炬网络科技股份有限公司、广州慧智微电子股份有限公司、上海移柯通信技术股份有限公司、重庆信息通信研究院、广东小天才科技有限公司、中国移动设计院、威凯检测技术有限公司、浙江利尔达物联网技术有限公司、北京中科晶上科技股份有限公司</t>
  </si>
  <si>
    <t>2026-04-01</t>
  </si>
  <si>
    <r>
      <rPr>
        <sz val="10.5"/>
        <rFont val="宋体"/>
        <charset val="134"/>
      </rPr>
      <t>本文件规定了中低频段（</t>
    </r>
    <r>
      <rPr>
        <sz val="10.5"/>
        <rFont val="Arial"/>
        <charset val="134"/>
      </rPr>
      <t>Sub-6GHz</t>
    </r>
    <r>
      <rPr>
        <sz val="10.5"/>
        <rFont val="宋体"/>
        <charset val="134"/>
      </rPr>
      <t>）的</t>
    </r>
    <r>
      <rPr>
        <sz val="10.5"/>
        <rFont val="Arial"/>
        <charset val="134"/>
      </rPr>
      <t>5G</t>
    </r>
    <r>
      <rPr>
        <sz val="10.5"/>
        <rFont val="宋体"/>
        <charset val="134"/>
      </rPr>
      <t>轻量化终端设备的传输能力、业务能力、基本协议功能、射频、接口、功耗和安全等方面的要求</t>
    </r>
    <r>
      <rPr>
        <sz val="10.5"/>
        <rFont val="Arial"/>
        <charset val="134"/>
      </rPr>
      <t xml:space="preserve"> </t>
    </r>
    <r>
      <rPr>
        <sz val="10.5"/>
        <rFont val="宋体"/>
        <charset val="134"/>
      </rPr>
      <t>本文件适用于模组、用户驻地设备、行业终端和穿戴设备等的研发、生产、检测，不适用于数字移动电话机的研发、生产、检测</t>
    </r>
  </si>
  <si>
    <t>中国通信标准化协会</t>
  </si>
  <si>
    <r>
      <rPr>
        <sz val="10.5"/>
        <rFont val="Arial"/>
        <charset val="134"/>
      </rPr>
      <t xml:space="preserve">33.060.99 </t>
    </r>
    <r>
      <rPr>
        <sz val="10.5"/>
        <rFont val="宋体"/>
        <charset val="134"/>
      </rPr>
      <t>其他无线通信设备</t>
    </r>
  </si>
  <si>
    <t>信息传输、软件和信息技术服务业</t>
  </si>
  <si>
    <t>103560-2026</t>
  </si>
  <si>
    <t>YD/T 6537-2025</t>
  </si>
  <si>
    <r>
      <rPr>
        <sz val="10.5"/>
        <rFont val="Arial"/>
        <charset val="134"/>
      </rPr>
      <t>5G</t>
    </r>
    <r>
      <rPr>
        <sz val="10.5"/>
        <rFont val="宋体"/>
        <charset val="134"/>
      </rPr>
      <t>数字蜂窝移动通信网</t>
    </r>
    <r>
      <rPr>
        <sz val="10.5"/>
        <rFont val="Arial"/>
        <charset val="134"/>
      </rPr>
      <t xml:space="preserve"> 6GHz</t>
    </r>
    <r>
      <rPr>
        <sz val="10.5"/>
        <rFont val="宋体"/>
        <charset val="134"/>
      </rPr>
      <t>以下频段基站设备技术要求（第三阶段）</t>
    </r>
  </si>
  <si>
    <t>中国信息通信研究院，中国电信集团有限公司，中国移动通信集团有限公司，中国联合网络通信集团有限公司，中国广播电视网络集团有限公司，参加单位有中国信息通信科技集团有限公司，华为技术有限公司，中兴通讯股份有限公司，爱立信(中国)通信有限公司，上海诺基亚贝尔股份有限公司，博鼎实华(北京)技术有限公司，国家无线电监测中心检测中心，高通无线通信技术(中国)有限公司，浪潮通信技术有限公司，江苏省电子信息产品质量监督检验研究院(江苏省信息安全测评中心)，西安通和电信设备检测有限公司，上海新基讯通信技术有限公司，广东南方电信规划咨询设计院有限公司，中电科普天科技股份有限公司，归芯科技(深圳)有限公司，福建省邮电规划设计院有限公司，中讯邮电咨询设计院有限公司，中通维易科技服务有限公司，重庆信息通信研究院，深圳信息通信研究院，新华三技术有限公司，深圳国人无线通信有限公司，中国移动通信集团设计院有限公司，北京佰才邦技术股份有限公司，广州世炬网络科技有限公司，四川通信科研规划设计有限责任公司，苏州智铸通信科技股份有限公司，锐捷网络股份有限公司</t>
  </si>
  <si>
    <r>
      <rPr>
        <sz val="10.5"/>
        <rFont val="宋体"/>
        <charset val="134"/>
      </rPr>
      <t>本文件规定了</t>
    </r>
    <r>
      <rPr>
        <sz val="10.5"/>
        <rFont val="Arial"/>
        <charset val="134"/>
      </rPr>
      <t>6GHz</t>
    </r>
    <r>
      <rPr>
        <sz val="10.5"/>
        <rFont val="宋体"/>
        <charset val="134"/>
      </rPr>
      <t>以下频段</t>
    </r>
    <r>
      <rPr>
        <sz val="10.5"/>
        <rFont val="Arial"/>
        <charset val="134"/>
      </rPr>
      <t>5G</t>
    </r>
    <r>
      <rPr>
        <sz val="10.5"/>
        <rFont val="宋体"/>
        <charset val="134"/>
      </rPr>
      <t>基站支持轻量化（</t>
    </r>
    <r>
      <rPr>
        <sz val="10.5"/>
        <rFont val="Arial"/>
        <charset val="134"/>
      </rPr>
      <t>RedCap</t>
    </r>
    <r>
      <rPr>
        <sz val="10.5"/>
        <rFont val="宋体"/>
        <charset val="134"/>
      </rPr>
      <t>）的基本要求和</t>
    </r>
    <r>
      <rPr>
        <sz val="10.5"/>
        <rFont val="Arial"/>
        <charset val="134"/>
      </rPr>
      <t>MIMO</t>
    </r>
    <r>
      <rPr>
        <sz val="10.5"/>
        <rFont val="宋体"/>
        <charset val="134"/>
      </rPr>
      <t>增强、小数据包传输、覆盖增强等其它功能要求，以及基站设备性能要求和接口要求等</t>
    </r>
    <r>
      <rPr>
        <sz val="10.5"/>
        <rFont val="Arial"/>
        <charset val="134"/>
      </rPr>
      <t xml:space="preserve"> </t>
    </r>
    <r>
      <rPr>
        <sz val="10.5"/>
        <rFont val="宋体"/>
        <charset val="134"/>
      </rPr>
      <t>本文件适用于</t>
    </r>
    <r>
      <rPr>
        <sz val="10.5"/>
        <rFont val="Arial"/>
        <charset val="134"/>
      </rPr>
      <t>5G</t>
    </r>
    <r>
      <rPr>
        <sz val="10.5"/>
        <rFont val="宋体"/>
        <charset val="134"/>
      </rPr>
      <t>数字蜂窝移动通信网</t>
    </r>
    <r>
      <rPr>
        <sz val="10.5"/>
        <rFont val="Arial"/>
        <charset val="134"/>
      </rPr>
      <t>6GHz</t>
    </r>
    <r>
      <rPr>
        <sz val="10.5"/>
        <rFont val="宋体"/>
        <charset val="134"/>
      </rPr>
      <t>以下频段基站设备的研发、生产、检测等</t>
    </r>
  </si>
  <si>
    <t>103562-2026</t>
  </si>
  <si>
    <t>T/GDEIIA 54—2024</t>
  </si>
  <si>
    <t>团体标准</t>
  </si>
  <si>
    <r>
      <rPr>
        <sz val="10.5"/>
        <rFont val="Arial"/>
        <charset val="134"/>
      </rPr>
      <t>8×100Gb/s</t>
    </r>
    <r>
      <rPr>
        <sz val="10.5"/>
        <rFont val="宋体"/>
        <charset val="134"/>
      </rPr>
      <t>强度调制可插拔光收发合一模块技术规范</t>
    </r>
  </si>
  <si>
    <t>本文件规定了基于8×100Gb/s的800Gb/s强度调制可插拔光收发合一模块（以下简称为“光模块”）的技术要求、测试方法、可靠性试验、电磁兼容试验、检验规则、标志、包装、运输和贮存要求。本文件适用于光电接口为8×100Gb/s的800Gb/s强度调制可插拔光收发合一模块的研发、生产和测试。</t>
  </si>
  <si>
    <t>广东省电子信息行业协会</t>
  </si>
  <si>
    <r>
      <rPr>
        <sz val="10.5"/>
        <rFont val="Arial"/>
        <charset val="134"/>
      </rPr>
      <t xml:space="preserve">33.180.01 </t>
    </r>
    <r>
      <rPr>
        <sz val="10.5"/>
        <rFont val="宋体"/>
        <charset val="134"/>
      </rPr>
      <t>光纤系统综合</t>
    </r>
  </si>
  <si>
    <t>I631 电信</t>
  </si>
  <si>
    <t>T/GDEIIA 53—2024</t>
  </si>
  <si>
    <t>可插拔光收发合一模块可靠性评价方法</t>
  </si>
  <si>
    <t>工业和信息化部电子第五研究所，苏州旭创科技有限公司，中国科学院半导体研究所，中国移动通信集团广东有限公司广州分公司，是德科技(中国)有限公司，武汉普赛斯电子股份有限公司，广东世炬网络科技有限公司，南方电网大数据服务有限公司，宁波芯速联光电科技有限公司</t>
  </si>
  <si>
    <r>
      <rPr>
        <sz val="10.5"/>
        <rFont val="宋体"/>
        <charset val="134"/>
      </rPr>
      <t>本标准规定了可插拔光收发合一模块（以下简称为</t>
    </r>
    <r>
      <rPr>
        <sz val="10.5"/>
        <rFont val="Arial"/>
        <charset val="134"/>
      </rPr>
      <t>“</t>
    </r>
    <r>
      <rPr>
        <sz val="10.5"/>
        <rFont val="宋体"/>
        <charset val="134"/>
      </rPr>
      <t>光模块</t>
    </r>
    <r>
      <rPr>
        <sz val="10.5"/>
        <rFont val="Arial"/>
        <charset val="134"/>
      </rPr>
      <t>”</t>
    </r>
    <r>
      <rPr>
        <sz val="10.5"/>
        <rFont val="宋体"/>
        <charset val="134"/>
      </rPr>
      <t>）的术语、定义、可靠性评价的一般要求、可靠性试验程序和可靠性评价方法。本文件适用于强度调制和相位调制可插拔光收发合一模块的可靠性试验和评价。</t>
    </r>
  </si>
  <si>
    <t>Q/SJWL 0001-2024</t>
  </si>
  <si>
    <t>企业标准</t>
  </si>
  <si>
    <r>
      <rPr>
        <sz val="10.5"/>
        <rFont val="Arial"/>
        <charset val="134"/>
      </rPr>
      <t>5GNR</t>
    </r>
    <r>
      <rPr>
        <sz val="10.5"/>
        <rFont val="宋体"/>
        <charset val="134"/>
      </rPr>
      <t>扩展型皮基站单模</t>
    </r>
    <r>
      <rPr>
        <sz val="10.5"/>
        <rFont val="Arial"/>
        <charset val="134"/>
      </rPr>
      <t>BBU</t>
    </r>
  </si>
  <si>
    <t>广东世炬网络科技股份有限公司</t>
  </si>
  <si>
    <r>
      <rPr>
        <sz val="10.5"/>
        <rFont val="宋体"/>
        <charset val="134"/>
      </rPr>
      <t>控制单元</t>
    </r>
    <r>
      <rPr>
        <sz val="10.5"/>
        <rFont val="Arial"/>
        <charset val="134"/>
      </rPr>
      <t>/</t>
    </r>
    <r>
      <rPr>
        <sz val="10.5"/>
        <rFont val="宋体"/>
        <charset val="134"/>
      </rPr>
      <t>信息技术、广播和电信</t>
    </r>
    <r>
      <rPr>
        <sz val="10.5"/>
        <rFont val="Arial"/>
        <charset val="134"/>
      </rPr>
      <t>/</t>
    </r>
    <r>
      <rPr>
        <sz val="10.5"/>
        <rFont val="宋体"/>
        <charset val="134"/>
      </rPr>
      <t>信息技术、广播和通信设备部件</t>
    </r>
    <r>
      <rPr>
        <sz val="10.5"/>
        <rFont val="Arial"/>
        <charset val="134"/>
      </rPr>
      <t>/</t>
    </r>
    <r>
      <rPr>
        <sz val="10.5"/>
        <rFont val="宋体"/>
        <charset val="134"/>
      </rPr>
      <t>系统板处理器接口或模块</t>
    </r>
  </si>
  <si>
    <t>SBB6542D-Ccfg1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</si>
</sst>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quot;平方米&quot;"/>
  </numFmts>
  <fonts count="54">
    <font>
      <sz val="11"/>
      <color theme="1"/>
      <name val="宋体"/>
      <charset val="134"/>
      <scheme val="minor"/>
    </font>
    <font>
      <sz val="11"/>
      <name val="宋体"/>
      <charset val="134"/>
      <scheme val="minor"/>
    </font>
    <font>
      <sz val="10.5"/>
      <name val="宋体"/>
      <charset val="134"/>
    </font>
    <font>
      <sz val="10.5"/>
      <name val="Arial"/>
      <charset val="134"/>
    </font>
    <font>
      <sz val="9"/>
      <color theme="1"/>
      <name val="Times New Roman"/>
      <charset val="134"/>
    </font>
    <font>
      <u/>
      <sz val="9"/>
      <color rgb="FF800080"/>
      <name val="宋体"/>
      <charset val="134"/>
    </font>
    <font>
      <b/>
      <sz val="9"/>
      <color rgb="FF000000"/>
      <name val="宋体"/>
      <charset val="134"/>
    </font>
    <font>
      <sz val="9"/>
      <color rgb="FF000000"/>
      <name val="Times New Roman"/>
      <charset val="134"/>
    </font>
    <font>
      <sz val="9"/>
      <color theme="1"/>
      <name val="宋体"/>
      <charset val="134"/>
    </font>
    <font>
      <sz val="9"/>
      <color rgb="FF000000"/>
      <name val="宋体"/>
      <charset val="134"/>
    </font>
    <font>
      <sz val="9"/>
      <name val="宋体"/>
      <charset val="134"/>
    </font>
    <font>
      <b/>
      <sz val="11"/>
      <color theme="1"/>
      <name val="Times New Roman"/>
      <charset val="134"/>
    </font>
    <font>
      <sz val="11"/>
      <color theme="1"/>
      <name val="Times New Roman"/>
      <charset val="134"/>
    </font>
    <font>
      <u/>
      <sz val="9"/>
      <color rgb="FF0000FF"/>
      <name val="宋体"/>
      <charset val="134"/>
    </font>
    <font>
      <b/>
      <sz val="10.5"/>
      <color rgb="FF333333"/>
      <name val="微软雅黑"/>
      <charset val="134"/>
    </font>
    <font>
      <b/>
      <sz val="9"/>
      <color rgb="FF000000"/>
      <name val="Times New Roman"/>
      <charset val="134"/>
    </font>
    <font>
      <b/>
      <sz val="9"/>
      <color rgb="FF000000"/>
      <name val="微软雅黑"/>
      <charset val="134"/>
    </font>
    <font>
      <sz val="9"/>
      <color theme="1"/>
      <name val="微软雅黑"/>
      <charset val="134"/>
    </font>
    <font>
      <u/>
      <sz val="11"/>
      <color rgb="FF800080"/>
      <name val="微软雅黑"/>
      <charset val="134"/>
    </font>
    <font>
      <sz val="9"/>
      <color rgb="FF000000"/>
      <name val="微软雅黑"/>
      <charset val="134"/>
    </font>
    <font>
      <b/>
      <sz val="9"/>
      <color theme="1"/>
      <name val="宋体"/>
      <charset val="134"/>
    </font>
    <font>
      <sz val="9"/>
      <color rgb="FF333333"/>
      <name val="Arial"/>
      <charset val="134"/>
    </font>
    <font>
      <u/>
      <sz val="9"/>
      <color rgb="FF0000FF"/>
      <name val="宋体"/>
      <charset val="134"/>
      <scheme val="minor"/>
    </font>
    <font>
      <sz val="9"/>
      <color theme="1"/>
      <name val="宋体"/>
      <charset val="134"/>
      <scheme val="minor"/>
    </font>
    <font>
      <u/>
      <sz val="9"/>
      <color rgb="FF800080"/>
      <name val="宋体"/>
      <charset val="134"/>
      <scheme val="minor"/>
    </font>
    <font>
      <sz val="9"/>
      <name val="Times New Roman"/>
      <charset val="134"/>
    </font>
    <font>
      <b/>
      <sz val="14"/>
      <color theme="1"/>
      <name val="宋体"/>
      <charset val="134"/>
    </font>
    <font>
      <u/>
      <sz val="11"/>
      <color rgb="FF0000FF"/>
      <name val="宋体"/>
      <charset val="134"/>
      <scheme val="minor"/>
    </font>
    <font>
      <u/>
      <sz val="11"/>
      <color rgb="FF800080"/>
      <name val="宋体"/>
      <charset val="134"/>
      <scheme val="minor"/>
    </font>
    <font>
      <sz val="9"/>
      <color rgb="FF800080"/>
      <name val="宋体"/>
      <charset val="134"/>
    </font>
    <font>
      <sz val="9"/>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微软雅黑"/>
      <charset val="134"/>
    </font>
    <font>
      <sz val="10"/>
      <name val="Arial"/>
      <charset val="134"/>
    </font>
    <font>
      <sz val="10"/>
      <name val="宋体"/>
      <charset val="134"/>
    </font>
    <font>
      <sz val="9"/>
      <color rgb="FF333333"/>
      <name val="宋体"/>
      <charset val="134"/>
    </font>
    <font>
      <sz val="10"/>
      <name val="宋体"/>
      <charset val="134"/>
    </font>
  </fonts>
  <fills count="41">
    <fill>
      <patternFill patternType="none"/>
    </fill>
    <fill>
      <patternFill patternType="gray125"/>
    </fill>
    <fill>
      <patternFill patternType="solid">
        <fgColor theme="0" tint="-0.0499893185216834"/>
        <bgColor indexed="64"/>
      </patternFill>
    </fill>
    <fill>
      <patternFill patternType="solid">
        <fgColor rgb="FFFFFFFF"/>
        <bgColor indexed="64"/>
      </patternFill>
    </fill>
    <fill>
      <patternFill patternType="solid">
        <fgColor theme="5" tint="0.799920651875362"/>
        <bgColor indexed="64"/>
      </patternFill>
    </fill>
    <fill>
      <patternFill patternType="solid">
        <fgColor theme="0" tint="-0.149937437055574"/>
        <bgColor indexed="64"/>
      </patternFill>
    </fill>
    <fill>
      <patternFill patternType="solid">
        <fgColor theme="6" tint="0.799920651875362"/>
        <bgColor indexed="64"/>
      </patternFill>
    </fill>
    <fill>
      <patternFill patternType="solid">
        <fgColor rgb="FFF1F1F1"/>
        <bgColor indexed="64"/>
      </patternFill>
    </fill>
    <fill>
      <patternFill patternType="solid">
        <fgColor rgb="FFE7E6E6"/>
        <bgColor indexed="64"/>
      </patternFill>
    </fill>
    <fill>
      <patternFill patternType="solid">
        <fgColor theme="6"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E4EEF6"/>
      </left>
      <right style="medium">
        <color rgb="FFF2F9FC"/>
      </right>
      <top style="medium">
        <color rgb="FFE4EEF6"/>
      </top>
      <bottom style="medium">
        <color rgb="FFE4EEF6"/>
      </bottom>
      <diagonal/>
    </border>
    <border>
      <left style="medium">
        <color rgb="FFE4EEF6"/>
      </left>
      <right style="medium">
        <color rgb="FFE4EEF6"/>
      </right>
      <top style="medium">
        <color rgb="FFE4EEF6"/>
      </top>
      <bottom style="medium">
        <color rgb="FFE4EEF6"/>
      </bottom>
      <diagonal/>
    </border>
    <border>
      <left style="medium">
        <color rgb="FFE4EEF6"/>
      </left>
      <right style="medium">
        <color rgb="FFE4EEF6"/>
      </right>
      <top style="medium">
        <color rgb="FFE4EEF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10" borderId="4"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5" applyNumberFormat="0" applyFill="0" applyAlignment="0" applyProtection="0">
      <alignment vertical="center"/>
    </xf>
    <xf numFmtId="0" fontId="36" fillId="0" borderId="5" applyNumberFormat="0" applyFill="0" applyAlignment="0" applyProtection="0">
      <alignment vertical="center"/>
    </xf>
    <xf numFmtId="0" fontId="37" fillId="0" borderId="6" applyNumberFormat="0" applyFill="0" applyAlignment="0" applyProtection="0">
      <alignment vertical="center"/>
    </xf>
    <xf numFmtId="0" fontId="37" fillId="0" borderId="0" applyNumberFormat="0" applyFill="0" applyBorder="0" applyAlignment="0" applyProtection="0">
      <alignment vertical="center"/>
    </xf>
    <xf numFmtId="0" fontId="38" fillId="11" borderId="7" applyNumberFormat="0" applyAlignment="0" applyProtection="0">
      <alignment vertical="center"/>
    </xf>
    <xf numFmtId="0" fontId="39" fillId="12" borderId="8" applyNumberFormat="0" applyAlignment="0" applyProtection="0">
      <alignment vertical="center"/>
    </xf>
    <xf numFmtId="0" fontId="40" fillId="12" borderId="7" applyNumberFormat="0" applyAlignment="0" applyProtection="0">
      <alignment vertical="center"/>
    </xf>
    <xf numFmtId="0" fontId="41" fillId="13" borderId="9" applyNumberFormat="0" applyAlignment="0" applyProtection="0">
      <alignment vertical="center"/>
    </xf>
    <xf numFmtId="0" fontId="42" fillId="0" borderId="10" applyNumberFormat="0" applyFill="0" applyAlignment="0" applyProtection="0">
      <alignment vertical="center"/>
    </xf>
    <xf numFmtId="0" fontId="43" fillId="0" borderId="11" applyNumberFormat="0" applyFill="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8" fillId="38" borderId="0" applyNumberFormat="0" applyBorder="0" applyAlignment="0" applyProtection="0">
      <alignment vertical="center"/>
    </xf>
    <xf numFmtId="0" fontId="48" fillId="39" borderId="0" applyNumberFormat="0" applyBorder="0" applyAlignment="0" applyProtection="0">
      <alignment vertical="center"/>
    </xf>
    <xf numFmtId="0" fontId="47" fillId="40" borderId="0" applyNumberFormat="0" applyBorder="0" applyAlignment="0" applyProtection="0">
      <alignment vertical="center"/>
    </xf>
  </cellStyleXfs>
  <cellXfs count="123">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14" fontId="3" fillId="3" borderId="2" xfId="0" applyNumberFormat="1" applyFont="1" applyFill="1" applyBorder="1" applyAlignment="1">
      <alignment vertical="center" wrapText="1"/>
    </xf>
    <xf numFmtId="14" fontId="3" fillId="0" borderId="0" xfId="0" applyNumberFormat="1" applyFont="1" applyAlignment="1">
      <alignment vertical="center" wrapText="1"/>
    </xf>
    <xf numFmtId="14" fontId="1" fillId="0" borderId="0" xfId="0" applyNumberFormat="1" applyFont="1" applyAlignment="1">
      <alignment vertical="center" wrapText="1"/>
    </xf>
    <xf numFmtId="0" fontId="2" fillId="0" borderId="0" xfId="0" applyFont="1" applyAlignment="1">
      <alignment vertical="center" wrapText="1"/>
    </xf>
    <xf numFmtId="0" fontId="3"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center" vertical="center"/>
    </xf>
    <xf numFmtId="176" fontId="4" fillId="0" borderId="0" xfId="0" applyNumberFormat="1" applyFont="1">
      <alignment vertical="center"/>
    </xf>
    <xf numFmtId="0" fontId="5" fillId="0" borderId="0" xfId="6"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177" fontId="7" fillId="0" borderId="0" xfId="0" applyNumberFormat="1" applyFont="1" applyAlignment="1">
      <alignment horizontal="center" vertical="center"/>
    </xf>
    <xf numFmtId="0" fontId="9" fillId="0" borderId="0" xfId="0" applyFont="1" applyAlignment="1">
      <alignment horizontal="left" vertical="center" wrapText="1"/>
    </xf>
    <xf numFmtId="176" fontId="6" fillId="0" borderId="0" xfId="0" applyNumberFormat="1" applyFont="1" applyAlignment="1">
      <alignment horizontal="center" vertical="center" wrapText="1"/>
    </xf>
    <xf numFmtId="0" fontId="6" fillId="4" borderId="0" xfId="0" applyFont="1" applyFill="1" applyAlignment="1">
      <alignment horizontal="center" vertical="center" wrapText="1"/>
    </xf>
    <xf numFmtId="176" fontId="7" fillId="0" borderId="0" xfId="0" applyNumberFormat="1" applyFont="1" applyAlignment="1">
      <alignment horizontal="center" vertical="center"/>
    </xf>
    <xf numFmtId="0" fontId="10" fillId="4" borderId="0" xfId="0" applyFont="1" applyFill="1" applyAlignment="1">
      <alignment horizontal="center" vertical="center"/>
    </xf>
    <xf numFmtId="0" fontId="8" fillId="0" borderId="0" xfId="0" applyFont="1">
      <alignment vertical="center"/>
    </xf>
    <xf numFmtId="0" fontId="11"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horizontal="center" vertical="center"/>
    </xf>
    <xf numFmtId="0" fontId="12" fillId="0" borderId="0" xfId="0" applyFont="1">
      <alignment vertical="center"/>
    </xf>
    <xf numFmtId="0" fontId="13" fillId="5" borderId="0" xfId="6" applyFont="1" applyFill="1" applyBorder="1" applyAlignment="1">
      <alignment horizontal="center" vertical="center" wrapText="1"/>
    </xf>
    <xf numFmtId="0" fontId="14" fillId="5" borderId="0" xfId="6" applyFont="1" applyFill="1" applyBorder="1" applyAlignment="1">
      <alignment horizontal="center" vertical="center" wrapText="1"/>
    </xf>
    <xf numFmtId="14" fontId="12" fillId="0" borderId="0" xfId="0" applyNumberFormat="1" applyFont="1">
      <alignment vertical="center"/>
    </xf>
    <xf numFmtId="14" fontId="4" fillId="0" borderId="0" xfId="0" applyNumberFormat="1" applyFont="1" applyAlignment="1">
      <alignment horizontal="center" vertical="center"/>
    </xf>
    <xf numFmtId="0" fontId="8" fillId="0" borderId="0" xfId="0" applyFont="1" applyAlignment="1">
      <alignment horizontal="center" vertical="center" wrapText="1"/>
    </xf>
    <xf numFmtId="176" fontId="4" fillId="0" borderId="0" xfId="0" applyNumberFormat="1" applyFont="1" applyAlignment="1">
      <alignment horizontal="center" vertical="center"/>
    </xf>
    <xf numFmtId="0" fontId="6" fillId="5" borderId="0" xfId="0" applyFont="1" applyFill="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vertical="center" wrapText="1"/>
    </xf>
    <xf numFmtId="0" fontId="4" fillId="0" borderId="0" xfId="0" applyFont="1" applyAlignment="1">
      <alignment vertical="center" wrapText="1"/>
    </xf>
    <xf numFmtId="176" fontId="6" fillId="5" borderId="0" xfId="0" applyNumberFormat="1" applyFont="1" applyFill="1" applyAlignment="1">
      <alignment horizontal="center" vertical="center"/>
    </xf>
    <xf numFmtId="176" fontId="15" fillId="5" borderId="0" xfId="0" applyNumberFormat="1" applyFont="1" applyFill="1" applyAlignment="1">
      <alignment horizontal="center" vertical="center"/>
    </xf>
    <xf numFmtId="0" fontId="16" fillId="4" borderId="0" xfId="0" applyFont="1" applyFill="1" applyAlignment="1">
      <alignment horizontal="center" vertical="center" wrapText="1"/>
    </xf>
    <xf numFmtId="0" fontId="6" fillId="6" borderId="0" xfId="0" applyFont="1" applyFill="1" applyAlignment="1">
      <alignment horizontal="center" vertical="center" wrapText="1"/>
    </xf>
    <xf numFmtId="176" fontId="7" fillId="0" borderId="0" xfId="0" applyNumberFormat="1" applyFont="1" applyAlignment="1">
      <alignment horizontal="center" vertical="center" wrapText="1"/>
    </xf>
    <xf numFmtId="0" fontId="17" fillId="0" borderId="0" xfId="0" applyFont="1" applyAlignment="1">
      <alignment horizontal="center" vertical="center"/>
    </xf>
    <xf numFmtId="176" fontId="8" fillId="0" borderId="0" xfId="0" applyNumberFormat="1" applyFont="1" applyAlignment="1">
      <alignment horizontal="center" vertical="center"/>
    </xf>
    <xf numFmtId="0" fontId="10" fillId="0" borderId="0" xfId="0" applyFont="1" applyAlignment="1">
      <alignment vertical="center" wrapText="1"/>
    </xf>
    <xf numFmtId="0" fontId="17" fillId="0" borderId="0" xfId="0" applyFont="1">
      <alignment vertical="center"/>
    </xf>
    <xf numFmtId="176" fontId="17" fillId="0" borderId="0" xfId="0" applyNumberFormat="1" applyFont="1" applyAlignment="1">
      <alignment horizontal="center" vertical="center"/>
    </xf>
    <xf numFmtId="0" fontId="18" fillId="7" borderId="0" xfId="6" applyFont="1" applyFill="1" applyBorder="1" applyAlignment="1">
      <alignment horizontal="center" vertical="center"/>
    </xf>
    <xf numFmtId="0" fontId="16" fillId="7" borderId="0" xfId="0" applyFont="1" applyFill="1" applyAlignment="1">
      <alignment horizontal="center" vertical="center"/>
    </xf>
    <xf numFmtId="176" fontId="16" fillId="7" borderId="0" xfId="0" applyNumberFormat="1" applyFont="1" applyFill="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176" fontId="19" fillId="0" borderId="0" xfId="0" applyNumberFormat="1" applyFont="1" applyAlignment="1">
      <alignment horizontal="center" vertical="center"/>
    </xf>
    <xf numFmtId="0" fontId="19" fillId="0" borderId="0" xfId="0" applyFont="1" applyAlignment="1">
      <alignment horizontal="left" vertical="center" wrapText="1"/>
    </xf>
    <xf numFmtId="0" fontId="19" fillId="0" borderId="0" xfId="0" applyFont="1" applyAlignment="1">
      <alignment horizontal="center" vertical="center" wrapText="1"/>
    </xf>
    <xf numFmtId="176" fontId="19" fillId="0" borderId="0" xfId="0" applyNumberFormat="1" applyFont="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vertical="center" wrapText="1"/>
    </xf>
    <xf numFmtId="176" fontId="17" fillId="0" borderId="0" xfId="0" applyNumberFormat="1" applyFont="1" applyAlignment="1">
      <alignment horizontal="center" vertical="center" wrapText="1"/>
    </xf>
    <xf numFmtId="176" fontId="8" fillId="0" borderId="0" xfId="0" applyNumberFormat="1" applyFont="1" applyAlignment="1">
      <alignment horizontal="center" vertical="center" wrapText="1"/>
    </xf>
    <xf numFmtId="0" fontId="8" fillId="4" borderId="0" xfId="0" applyFont="1" applyFill="1" applyAlignment="1">
      <alignment vertical="center" wrapText="1"/>
    </xf>
    <xf numFmtId="0" fontId="8" fillId="6" borderId="0" xfId="0" applyFont="1" applyFill="1" applyAlignment="1">
      <alignment vertical="center" wrapText="1"/>
    </xf>
    <xf numFmtId="0" fontId="13" fillId="8" borderId="0" xfId="6" applyFont="1" applyFill="1" applyBorder="1" applyAlignment="1">
      <alignment horizontal="center" vertical="center" wrapText="1"/>
    </xf>
    <xf numFmtId="0" fontId="20" fillId="8" borderId="0" xfId="0" applyFont="1" applyFill="1" applyAlignment="1">
      <alignment horizontal="center" vertical="center" wrapText="1"/>
    </xf>
    <xf numFmtId="176" fontId="20" fillId="8" borderId="0" xfId="0" applyNumberFormat="1" applyFont="1" applyFill="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176" fontId="10" fillId="0" borderId="0" xfId="0" applyNumberFormat="1" applyFont="1" applyAlignment="1">
      <alignment horizontal="center" vertical="center" wrapText="1"/>
    </xf>
    <xf numFmtId="14" fontId="10" fillId="0" borderId="0" xfId="0" applyNumberFormat="1" applyFont="1" applyAlignment="1">
      <alignment horizontal="center" vertical="center" wrapText="1"/>
    </xf>
    <xf numFmtId="14" fontId="8" fillId="0" borderId="0" xfId="0" applyNumberFormat="1" applyFont="1" applyAlignment="1">
      <alignment vertical="center" wrapText="1"/>
    </xf>
    <xf numFmtId="0" fontId="21" fillId="3" borderId="2" xfId="0" applyFont="1" applyFill="1" applyBorder="1" applyAlignment="1">
      <alignment horizontal="left" vertical="center" wrapText="1"/>
    </xf>
    <xf numFmtId="0" fontId="21" fillId="0" borderId="2" xfId="0" applyFont="1" applyBorder="1" applyAlignment="1">
      <alignment horizontal="left" vertical="center" wrapText="1"/>
    </xf>
    <xf numFmtId="49" fontId="8" fillId="0" borderId="0" xfId="0" applyNumberFormat="1" applyFont="1" applyAlignment="1">
      <alignment horizontal="center"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22" fillId="0" borderId="0" xfId="6" applyFont="1" applyBorder="1" applyAlignment="1">
      <alignment vertical="center" wrapText="1"/>
    </xf>
    <xf numFmtId="0" fontId="10" fillId="0" borderId="0" xfId="0" applyFont="1">
      <alignment vertical="center"/>
    </xf>
    <xf numFmtId="0" fontId="13" fillId="0" borderId="0" xfId="0" applyFont="1" applyAlignment="1">
      <alignment horizontal="justify" vertical="center" wrapText="1"/>
    </xf>
    <xf numFmtId="0" fontId="23" fillId="0" borderId="0" xfId="0" applyFont="1">
      <alignment vertical="center"/>
    </xf>
    <xf numFmtId="0" fontId="8" fillId="0" borderId="0" xfId="0" applyFont="1" applyAlignment="1">
      <alignment horizontal="justify" vertical="center" wrapText="1"/>
    </xf>
    <xf numFmtId="0" fontId="5" fillId="0" borderId="0" xfId="6" applyFont="1" applyBorder="1" applyAlignment="1">
      <alignment vertical="center" wrapText="1"/>
    </xf>
    <xf numFmtId="0" fontId="24" fillId="0" borderId="0" xfId="6" applyFont="1" applyBorder="1" applyAlignment="1">
      <alignment vertical="center" wrapText="1"/>
    </xf>
    <xf numFmtId="0" fontId="0" fillId="0" borderId="0" xfId="0" applyAlignment="1">
      <alignment vertical="center" wrapText="1"/>
    </xf>
    <xf numFmtId="0" fontId="25" fillId="0" borderId="0" xfId="0" applyFont="1" applyAlignment="1">
      <alignment horizontal="center" vertical="center"/>
    </xf>
    <xf numFmtId="0" fontId="4" fillId="0" borderId="0" xfId="0" applyFont="1" applyAlignment="1">
      <alignment horizontal="left" vertical="center"/>
    </xf>
    <xf numFmtId="0" fontId="4" fillId="4" borderId="0" xfId="0" applyFont="1" applyFill="1" applyAlignment="1">
      <alignment horizontal="center" vertical="center"/>
    </xf>
    <xf numFmtId="0" fontId="4" fillId="9" borderId="0" xfId="0" applyFont="1" applyFill="1" applyAlignment="1">
      <alignment horizontal="center" vertical="center"/>
    </xf>
    <xf numFmtId="0" fontId="13" fillId="0" borderId="0" xfId="6" applyFont="1" applyFill="1" applyBorder="1" applyAlignment="1">
      <alignment horizontal="center" vertical="center"/>
    </xf>
    <xf numFmtId="176" fontId="6" fillId="0" borderId="0" xfId="0" applyNumberFormat="1" applyFont="1" applyAlignment="1">
      <alignment horizontal="center" vertical="center"/>
    </xf>
    <xf numFmtId="176" fontId="15" fillId="0" borderId="0" xfId="0" applyNumberFormat="1" applyFont="1" applyAlignment="1">
      <alignment horizontal="center" vertical="center"/>
    </xf>
    <xf numFmtId="0" fontId="10" fillId="0" borderId="0" xfId="0" applyFont="1" applyAlignment="1">
      <alignment horizontal="left" vertical="center"/>
    </xf>
    <xf numFmtId="0" fontId="25" fillId="0" borderId="0" xfId="0" applyFont="1" applyAlignment="1">
      <alignment horizontal="center" vertical="center" wrapText="1"/>
    </xf>
    <xf numFmtId="176" fontId="25" fillId="0" borderId="0" xfId="0" applyNumberFormat="1" applyFont="1" applyAlignment="1">
      <alignment horizontal="center" vertical="center"/>
    </xf>
    <xf numFmtId="0" fontId="10" fillId="0" borderId="0" xfId="0" applyFont="1" applyAlignment="1">
      <alignment horizontal="center" vertical="center"/>
    </xf>
    <xf numFmtId="176" fontId="10" fillId="0" borderId="0" xfId="0" applyNumberFormat="1" applyFont="1" applyAlignment="1">
      <alignment horizontal="center" vertical="center"/>
    </xf>
    <xf numFmtId="0" fontId="6" fillId="9" borderId="0" xfId="0" applyFont="1" applyFill="1" applyAlignment="1">
      <alignment horizontal="center" vertical="center" wrapText="1"/>
    </xf>
    <xf numFmtId="0" fontId="10" fillId="9" borderId="0" xfId="0" applyFont="1" applyFill="1" applyAlignment="1">
      <alignment horizontal="center" vertical="center"/>
    </xf>
    <xf numFmtId="0" fontId="20" fillId="0" borderId="0" xfId="0" applyFont="1">
      <alignment vertical="center"/>
    </xf>
    <xf numFmtId="0" fontId="26" fillId="0" borderId="0" xfId="0" applyFont="1" applyAlignment="1">
      <alignment horizontal="center" vertical="center"/>
    </xf>
    <xf numFmtId="0" fontId="20" fillId="2" borderId="0" xfId="0" applyFont="1" applyFill="1" applyAlignment="1">
      <alignment horizontal="center" vertical="center"/>
    </xf>
    <xf numFmtId="0" fontId="13" fillId="0" borderId="0" xfId="6" applyFont="1" applyAlignment="1">
      <alignment horizontal="center" vertical="center"/>
    </xf>
    <xf numFmtId="0" fontId="27" fillId="0" borderId="0" xfId="6">
      <alignment vertical="center"/>
    </xf>
    <xf numFmtId="0" fontId="5" fillId="0" borderId="0" xfId="6" applyFont="1" applyAlignment="1">
      <alignment horizontal="center" vertical="center"/>
    </xf>
    <xf numFmtId="0" fontId="28" fillId="0" borderId="0" xfId="6" applyFont="1">
      <alignment vertical="center"/>
    </xf>
    <xf numFmtId="0" fontId="29" fillId="0" borderId="0" xfId="6" applyFont="1" applyAlignment="1">
      <alignment horizontal="center" vertical="center"/>
    </xf>
    <xf numFmtId="0" fontId="30" fillId="0" borderId="0" xfId="6" applyFont="1" applyAlignment="1">
      <alignment horizontal="center" vertical="center"/>
    </xf>
    <xf numFmtId="0" fontId="27" fillId="0" borderId="0" xfId="6" applyAlignment="1">
      <alignment horizontal="center" vertical="center"/>
    </xf>
    <xf numFmtId="176" fontId="8" fillId="0" borderId="0" xfId="0" applyNumberFormat="1" applyFont="1" applyAlignment="1" quotePrefix="1">
      <alignment horizontal="center" vertical="center" wrapText="1"/>
    </xf>
    <xf numFmtId="176" fontId="10" fillId="0" borderId="0" xfId="0" applyNumberFormat="1"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strike val="1"/>
      </font>
      <fill>
        <patternFill patternType="solid">
          <bgColor theme="0" tint="-0.149937437055574"/>
        </patternFill>
      </fill>
    </dxf>
    <dxf>
      <font>
        <b val="1"/>
        <i val="0"/>
      </font>
      <fill>
        <patternFill patternType="solid">
          <bgColor theme="5" tint="0.799920651875362"/>
        </patternFill>
      </fill>
    </dxf>
    <dxf>
      <font>
        <strike val="1"/>
      </font>
      <fill>
        <patternFill patternType="solid">
          <bgColor theme="0" tint="-0.249977111117893"/>
        </patternFill>
      </fill>
    </dxf>
    <dxf>
      <font>
        <b val="1"/>
        <i val="0"/>
        <color theme="3" tint="0.399914548173467"/>
      </font>
    </dxf>
    <dxf>
      <font>
        <strike val="1"/>
      </font>
      <fill>
        <patternFill patternType="solid">
          <bgColor theme="2" tint="-0.0998870815149388"/>
        </patternFill>
      </fill>
    </dxf>
    <dxf>
      <font>
        <b val="1"/>
        <i val="0"/>
      </font>
      <fill>
        <patternFill patternType="solid">
          <bgColor theme="3" tint="0.399914548173467"/>
        </patternFill>
      </fill>
    </dxf>
    <dxf>
      <font>
        <b val="1"/>
        <i val="0"/>
      </font>
      <numFmt numFmtId="178" formatCode="0.00_ "/>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57150</xdr:colOff>
      <xdr:row>1</xdr:row>
      <xdr:rowOff>57150</xdr:rowOff>
    </xdr:from>
    <xdr:to>
      <xdr:col>3</xdr:col>
      <xdr:colOff>0</xdr:colOff>
      <xdr:row>2</xdr:row>
      <xdr:rowOff>396875</xdr:rowOff>
    </xdr:to>
    <xdr:pic>
      <xdr:nvPicPr>
        <xdr:cNvPr id="2" name="图片 1"/>
        <xdr:cNvPicPr>
          <a:picLocks noChangeAspect="1"/>
        </xdr:cNvPicPr>
      </xdr:nvPicPr>
      <xdr:blipFill>
        <a:blip r:embed="rId1" r:link="rId2"/>
        <a:srcRect l="3502" t="20802" r="6281" b="34100"/>
        <a:stretch>
          <a:fillRect/>
        </a:stretch>
      </xdr:blipFill>
      <xdr:spPr>
        <a:xfrm>
          <a:off x="1351915" y="406400"/>
          <a:ext cx="1473200" cy="396875"/>
        </a:xfrm>
        <a:prstGeom prst="rect">
          <a:avLst/>
        </a:prstGeom>
        <a:noFill/>
        <a:ln>
          <a:noFill/>
        </a:ln>
      </xdr:spPr>
    </xdr:pic>
    <xdr:clientData/>
  </xdr:twoCellAnchor>
  <xdr:twoCellAnchor editAs="oneCell">
    <xdr:from>
      <xdr:col>2</xdr:col>
      <xdr:colOff>57150</xdr:colOff>
      <xdr:row>2</xdr:row>
      <xdr:rowOff>85725</xdr:rowOff>
    </xdr:from>
    <xdr:to>
      <xdr:col>2</xdr:col>
      <xdr:colOff>1527175</xdr:colOff>
      <xdr:row>2</xdr:row>
      <xdr:rowOff>428625</xdr:rowOff>
    </xdr:to>
    <xdr:pic>
      <xdr:nvPicPr>
        <xdr:cNvPr id="3" name="图片 2"/>
        <xdr:cNvPicPr>
          <a:picLocks noChangeAspect="1"/>
        </xdr:cNvPicPr>
      </xdr:nvPicPr>
      <xdr:blipFill>
        <a:blip r:embed="rId3" r:link="rId2"/>
        <a:srcRect l="3502" t="28425" r="4568" b="31897"/>
        <a:stretch>
          <a:fillRect/>
        </a:stretch>
      </xdr:blipFill>
      <xdr:spPr>
        <a:xfrm>
          <a:off x="1351915" y="492125"/>
          <a:ext cx="1470025" cy="342900"/>
        </a:xfrm>
        <a:prstGeom prst="rect">
          <a:avLst/>
        </a:prstGeom>
        <a:noFill/>
        <a:ln>
          <a:noFill/>
        </a:ln>
      </xdr:spPr>
    </xdr:pic>
    <xdr:clientData/>
  </xdr:twoCellAnchor>
  <xdr:twoCellAnchor editAs="oneCell">
    <xdr:from>
      <xdr:col>2</xdr:col>
      <xdr:colOff>38100</xdr:colOff>
      <xdr:row>3</xdr:row>
      <xdr:rowOff>47625</xdr:rowOff>
    </xdr:from>
    <xdr:to>
      <xdr:col>3</xdr:col>
      <xdr:colOff>0</xdr:colOff>
      <xdr:row>8</xdr:row>
      <xdr:rowOff>349250</xdr:rowOff>
    </xdr:to>
    <xdr:pic>
      <xdr:nvPicPr>
        <xdr:cNvPr id="4" name="图片 3"/>
        <xdr:cNvPicPr>
          <a:picLocks noChangeAspect="1"/>
        </xdr:cNvPicPr>
      </xdr:nvPicPr>
      <xdr:blipFill>
        <a:blip r:embed="rId4" r:link="rId2"/>
        <a:srcRect l="2360" t="22929" r="2855" b="37393"/>
        <a:stretch>
          <a:fillRect/>
        </a:stretch>
      </xdr:blipFill>
      <xdr:spPr>
        <a:xfrm>
          <a:off x="1332865" y="863600"/>
          <a:ext cx="1492250" cy="349250"/>
        </a:xfrm>
        <a:prstGeom prst="rect">
          <a:avLst/>
        </a:prstGeom>
        <a:noFill/>
        <a:ln>
          <a:noFill/>
        </a:ln>
      </xdr:spPr>
    </xdr:pic>
    <xdr:clientData/>
  </xdr:twoCellAnchor>
  <xdr:twoCellAnchor editAs="oneCell">
    <xdr:from>
      <xdr:col>2</xdr:col>
      <xdr:colOff>38100</xdr:colOff>
      <xdr:row>4</xdr:row>
      <xdr:rowOff>38100</xdr:rowOff>
    </xdr:from>
    <xdr:to>
      <xdr:col>3</xdr:col>
      <xdr:colOff>0</xdr:colOff>
      <xdr:row>8</xdr:row>
      <xdr:rowOff>361950</xdr:rowOff>
    </xdr:to>
    <xdr:pic>
      <xdr:nvPicPr>
        <xdr:cNvPr id="5" name="图片 4"/>
        <xdr:cNvPicPr>
          <a:picLocks noChangeAspect="1"/>
        </xdr:cNvPicPr>
      </xdr:nvPicPr>
      <xdr:blipFill>
        <a:blip r:embed="rId3" r:link="rId2"/>
        <a:srcRect l="2360" t="25743" r="5139" b="32922"/>
        <a:stretch>
          <a:fillRect/>
        </a:stretch>
      </xdr:blipFill>
      <xdr:spPr>
        <a:xfrm>
          <a:off x="1332865" y="863600"/>
          <a:ext cx="1492250" cy="361950"/>
        </a:xfrm>
        <a:prstGeom prst="rect">
          <a:avLst/>
        </a:prstGeom>
        <a:noFill/>
        <a:ln>
          <a:noFill/>
        </a:ln>
      </xdr:spPr>
    </xdr:pic>
    <xdr:clientData/>
  </xdr:twoCellAnchor>
  <xdr:twoCellAnchor editAs="oneCell">
    <xdr:from>
      <xdr:col>2</xdr:col>
      <xdr:colOff>66675</xdr:colOff>
      <xdr:row>5</xdr:row>
      <xdr:rowOff>57150</xdr:rowOff>
    </xdr:from>
    <xdr:to>
      <xdr:col>2</xdr:col>
      <xdr:colOff>1527175</xdr:colOff>
      <xdr:row>8</xdr:row>
      <xdr:rowOff>371475</xdr:rowOff>
    </xdr:to>
    <xdr:pic>
      <xdr:nvPicPr>
        <xdr:cNvPr id="6" name="图片 5"/>
        <xdr:cNvPicPr>
          <a:picLocks noChangeAspect="1"/>
        </xdr:cNvPicPr>
      </xdr:nvPicPr>
      <xdr:blipFill>
        <a:blip r:embed="rId1" r:link="rId2"/>
        <a:srcRect l="4073" t="22843" r="4568" b="34735"/>
        <a:stretch>
          <a:fillRect/>
        </a:stretch>
      </xdr:blipFill>
      <xdr:spPr>
        <a:xfrm>
          <a:off x="1361440" y="863600"/>
          <a:ext cx="1460500" cy="371475"/>
        </a:xfrm>
        <a:prstGeom prst="rect">
          <a:avLst/>
        </a:prstGeom>
        <a:noFill/>
        <a:ln>
          <a:noFill/>
        </a:ln>
      </xdr:spPr>
    </xdr:pic>
    <xdr:clientData/>
  </xdr:twoCellAnchor>
  <xdr:twoCellAnchor editAs="oneCell">
    <xdr:from>
      <xdr:col>2</xdr:col>
      <xdr:colOff>38100</xdr:colOff>
      <xdr:row>6</xdr:row>
      <xdr:rowOff>9525</xdr:rowOff>
    </xdr:from>
    <xdr:to>
      <xdr:col>3</xdr:col>
      <xdr:colOff>0</xdr:colOff>
      <xdr:row>8</xdr:row>
      <xdr:rowOff>419100</xdr:rowOff>
    </xdr:to>
    <xdr:pic>
      <xdr:nvPicPr>
        <xdr:cNvPr id="7" name="图片 6"/>
        <xdr:cNvPicPr>
          <a:picLocks noChangeAspect="1"/>
        </xdr:cNvPicPr>
      </xdr:nvPicPr>
      <xdr:blipFill>
        <a:blip r:embed="rId4" r:link="rId2"/>
        <a:srcRect l="2360" t="22843" r="3997" b="29297"/>
        <a:stretch>
          <a:fillRect/>
        </a:stretch>
      </xdr:blipFill>
      <xdr:spPr>
        <a:xfrm>
          <a:off x="1332865" y="863600"/>
          <a:ext cx="1492250" cy="419100"/>
        </a:xfrm>
        <a:prstGeom prst="rect">
          <a:avLst/>
        </a:prstGeom>
        <a:noFill/>
        <a:ln>
          <a:noFill/>
        </a:ln>
      </xdr:spPr>
    </xdr:pic>
    <xdr:clientData/>
  </xdr:twoCellAnchor>
  <xdr:twoCellAnchor editAs="oneCell">
    <xdr:from>
      <xdr:col>2</xdr:col>
      <xdr:colOff>57150</xdr:colOff>
      <xdr:row>7</xdr:row>
      <xdr:rowOff>57150</xdr:rowOff>
    </xdr:from>
    <xdr:to>
      <xdr:col>2</xdr:col>
      <xdr:colOff>1527175</xdr:colOff>
      <xdr:row>8</xdr:row>
      <xdr:rowOff>352425</xdr:rowOff>
    </xdr:to>
    <xdr:pic>
      <xdr:nvPicPr>
        <xdr:cNvPr id="8" name="图片 7"/>
        <xdr:cNvPicPr>
          <a:picLocks noChangeAspect="1"/>
        </xdr:cNvPicPr>
      </xdr:nvPicPr>
      <xdr:blipFill>
        <a:blip r:embed="rId5" r:link="rId2"/>
        <a:srcRect l="3502" t="28281" r="4568" b="31472"/>
        <a:stretch>
          <a:fillRect/>
        </a:stretch>
      </xdr:blipFill>
      <xdr:spPr>
        <a:xfrm>
          <a:off x="1351915" y="863600"/>
          <a:ext cx="1470025" cy="352425"/>
        </a:xfrm>
        <a:prstGeom prst="rect">
          <a:avLst/>
        </a:prstGeom>
        <a:noFill/>
        <a:ln>
          <a:noFill/>
        </a:ln>
      </xdr:spPr>
    </xdr:pic>
    <xdr:clientData/>
  </xdr:twoCellAnchor>
  <xdr:twoCellAnchor editAs="oneCell">
    <xdr:from>
      <xdr:col>2</xdr:col>
      <xdr:colOff>76200</xdr:colOff>
      <xdr:row>8</xdr:row>
      <xdr:rowOff>19050</xdr:rowOff>
    </xdr:from>
    <xdr:to>
      <xdr:col>2</xdr:col>
      <xdr:colOff>1527175</xdr:colOff>
      <xdr:row>8</xdr:row>
      <xdr:rowOff>390525</xdr:rowOff>
    </xdr:to>
    <xdr:pic>
      <xdr:nvPicPr>
        <xdr:cNvPr id="9" name="图片 8"/>
        <xdr:cNvPicPr>
          <a:picLocks noChangeAspect="1"/>
        </xdr:cNvPicPr>
      </xdr:nvPicPr>
      <xdr:blipFill>
        <a:blip r:embed="rId3" r:link="rId2"/>
        <a:srcRect l="4644" t="23930" r="4568" b="33648"/>
        <a:stretch>
          <a:fillRect/>
        </a:stretch>
      </xdr:blipFill>
      <xdr:spPr>
        <a:xfrm>
          <a:off x="1370965" y="882650"/>
          <a:ext cx="1450975" cy="371475"/>
        </a:xfrm>
        <a:prstGeom prst="rect">
          <a:avLst/>
        </a:prstGeom>
        <a:noFill/>
        <a:ln>
          <a:noFill/>
        </a:ln>
      </xdr:spPr>
    </xdr:pic>
    <xdr:clientData/>
  </xdr:twoCellAnchor>
  <xdr:twoCellAnchor editAs="oneCell">
    <xdr:from>
      <xdr:col>2</xdr:col>
      <xdr:colOff>47625</xdr:colOff>
      <xdr:row>9</xdr:row>
      <xdr:rowOff>38100</xdr:rowOff>
    </xdr:from>
    <xdr:to>
      <xdr:col>2</xdr:col>
      <xdr:colOff>1527175</xdr:colOff>
      <xdr:row>13</xdr:row>
      <xdr:rowOff>352425</xdr:rowOff>
    </xdr:to>
    <xdr:pic>
      <xdr:nvPicPr>
        <xdr:cNvPr id="10" name="图片 9"/>
        <xdr:cNvPicPr>
          <a:picLocks noChangeAspect="1"/>
        </xdr:cNvPicPr>
      </xdr:nvPicPr>
      <xdr:blipFill>
        <a:blip r:embed="rId5" r:link="rId2"/>
        <a:srcRect l="2931" t="26106" r="4568" b="33648"/>
        <a:stretch>
          <a:fillRect/>
        </a:stretch>
      </xdr:blipFill>
      <xdr:spPr>
        <a:xfrm>
          <a:off x="1342390" y="1320800"/>
          <a:ext cx="1479550" cy="352425"/>
        </a:xfrm>
        <a:prstGeom prst="rect">
          <a:avLst/>
        </a:prstGeom>
        <a:noFill/>
        <a:ln>
          <a:noFill/>
        </a:ln>
      </xdr:spPr>
    </xdr:pic>
    <xdr:clientData/>
  </xdr:twoCellAnchor>
  <xdr:twoCellAnchor editAs="oneCell">
    <xdr:from>
      <xdr:col>2</xdr:col>
      <xdr:colOff>57150</xdr:colOff>
      <xdr:row>10</xdr:row>
      <xdr:rowOff>76200</xdr:rowOff>
    </xdr:from>
    <xdr:to>
      <xdr:col>2</xdr:col>
      <xdr:colOff>1527175</xdr:colOff>
      <xdr:row>13</xdr:row>
      <xdr:rowOff>361950</xdr:rowOff>
    </xdr:to>
    <xdr:pic>
      <xdr:nvPicPr>
        <xdr:cNvPr id="11" name="图片 10"/>
        <xdr:cNvPicPr>
          <a:picLocks noChangeAspect="1"/>
        </xdr:cNvPicPr>
      </xdr:nvPicPr>
      <xdr:blipFill>
        <a:blip r:embed="rId5" r:link="rId2"/>
        <a:srcRect l="3502" t="30457" r="4568" b="28209"/>
        <a:stretch>
          <a:fillRect/>
        </a:stretch>
      </xdr:blipFill>
      <xdr:spPr>
        <a:xfrm>
          <a:off x="1351915" y="1320800"/>
          <a:ext cx="1470025" cy="361950"/>
        </a:xfrm>
        <a:prstGeom prst="rect">
          <a:avLst/>
        </a:prstGeom>
        <a:noFill/>
        <a:ln>
          <a:noFill/>
        </a:ln>
      </xdr:spPr>
    </xdr:pic>
    <xdr:clientData/>
  </xdr:twoCellAnchor>
  <xdr:twoCellAnchor editAs="oneCell">
    <xdr:from>
      <xdr:col>2</xdr:col>
      <xdr:colOff>47625</xdr:colOff>
      <xdr:row>11</xdr:row>
      <xdr:rowOff>38100</xdr:rowOff>
    </xdr:from>
    <xdr:to>
      <xdr:col>2</xdr:col>
      <xdr:colOff>1527175</xdr:colOff>
      <xdr:row>13</xdr:row>
      <xdr:rowOff>342900</xdr:rowOff>
    </xdr:to>
    <xdr:pic>
      <xdr:nvPicPr>
        <xdr:cNvPr id="12" name="图片 11"/>
        <xdr:cNvPicPr>
          <a:picLocks noChangeAspect="1"/>
        </xdr:cNvPicPr>
      </xdr:nvPicPr>
      <xdr:blipFill>
        <a:blip r:embed="rId4" r:link="rId2"/>
        <a:srcRect l="2931" t="26106" r="3426" b="34735"/>
        <a:stretch>
          <a:fillRect/>
        </a:stretch>
      </xdr:blipFill>
      <xdr:spPr>
        <a:xfrm>
          <a:off x="1342390" y="1320800"/>
          <a:ext cx="1479550" cy="342900"/>
        </a:xfrm>
        <a:prstGeom prst="rect">
          <a:avLst/>
        </a:prstGeom>
        <a:noFill/>
        <a:ln>
          <a:noFill/>
        </a:ln>
      </xdr:spPr>
    </xdr:pic>
    <xdr:clientData/>
  </xdr:twoCellAnchor>
  <xdr:twoCellAnchor editAs="oneCell">
    <xdr:from>
      <xdr:col>2</xdr:col>
      <xdr:colOff>57150</xdr:colOff>
      <xdr:row>12</xdr:row>
      <xdr:rowOff>47625</xdr:rowOff>
    </xdr:from>
    <xdr:to>
      <xdr:col>2</xdr:col>
      <xdr:colOff>1527175</xdr:colOff>
      <xdr:row>13</xdr:row>
      <xdr:rowOff>314325</xdr:rowOff>
    </xdr:to>
    <xdr:pic>
      <xdr:nvPicPr>
        <xdr:cNvPr id="13" name="图片 12"/>
        <xdr:cNvPicPr>
          <a:picLocks noChangeAspect="1"/>
        </xdr:cNvPicPr>
      </xdr:nvPicPr>
      <xdr:blipFill>
        <a:blip r:embed="rId1" r:link="rId2"/>
        <a:srcRect l="3502" t="26106" r="5710" b="37999"/>
        <a:stretch>
          <a:fillRect/>
        </a:stretch>
      </xdr:blipFill>
      <xdr:spPr>
        <a:xfrm>
          <a:off x="1351915" y="1320800"/>
          <a:ext cx="1470025" cy="314325"/>
        </a:xfrm>
        <a:prstGeom prst="rect">
          <a:avLst/>
        </a:prstGeom>
        <a:noFill/>
        <a:ln>
          <a:noFill/>
        </a:ln>
      </xdr:spPr>
    </xdr:pic>
    <xdr:clientData/>
  </xdr:twoCellAnchor>
  <xdr:twoCellAnchor editAs="oneCell">
    <xdr:from>
      <xdr:col>2</xdr:col>
      <xdr:colOff>66675</xdr:colOff>
      <xdr:row>13</xdr:row>
      <xdr:rowOff>57150</xdr:rowOff>
    </xdr:from>
    <xdr:to>
      <xdr:col>2</xdr:col>
      <xdr:colOff>1238250</xdr:colOff>
      <xdr:row>13</xdr:row>
      <xdr:rowOff>361950</xdr:rowOff>
    </xdr:to>
    <xdr:pic>
      <xdr:nvPicPr>
        <xdr:cNvPr id="14" name="图片 13"/>
        <xdr:cNvPicPr>
          <a:picLocks noChangeAspect="1"/>
        </xdr:cNvPicPr>
      </xdr:nvPicPr>
      <xdr:blipFill>
        <a:blip r:embed="rId6" r:link="rId2"/>
        <a:srcRect l="5482" t="28571" b="36264"/>
        <a:stretch>
          <a:fillRect/>
        </a:stretch>
      </xdr:blipFill>
      <xdr:spPr>
        <a:xfrm>
          <a:off x="1361440" y="1377950"/>
          <a:ext cx="1171575" cy="304800"/>
        </a:xfrm>
        <a:prstGeom prst="rect">
          <a:avLst/>
        </a:prstGeom>
        <a:noFill/>
        <a:ln>
          <a:noFill/>
        </a:ln>
      </xdr:spPr>
    </xdr:pic>
    <xdr:clientData/>
  </xdr:twoCellAnchor>
  <xdr:twoCellAnchor editAs="oneCell">
    <xdr:from>
      <xdr:col>2</xdr:col>
      <xdr:colOff>152400</xdr:colOff>
      <xdr:row>14</xdr:row>
      <xdr:rowOff>9525</xdr:rowOff>
    </xdr:from>
    <xdr:to>
      <xdr:col>2</xdr:col>
      <xdr:colOff>1123950</xdr:colOff>
      <xdr:row>14</xdr:row>
      <xdr:rowOff>428625</xdr:rowOff>
    </xdr:to>
    <xdr:pic>
      <xdr:nvPicPr>
        <xdr:cNvPr id="15" name="图片 14"/>
        <xdr:cNvPicPr>
          <a:picLocks noChangeAspect="1"/>
        </xdr:cNvPicPr>
      </xdr:nvPicPr>
      <xdr:blipFill>
        <a:blip r:embed="rId6" r:link="rId2"/>
        <a:srcRect l="12494" t="23596" r="8518" b="26966"/>
        <a:stretch>
          <a:fillRect/>
        </a:stretch>
      </xdr:blipFill>
      <xdr:spPr>
        <a:xfrm>
          <a:off x="1447165" y="1787525"/>
          <a:ext cx="971550" cy="419100"/>
        </a:xfrm>
        <a:prstGeom prst="rect">
          <a:avLst/>
        </a:prstGeom>
        <a:noFill/>
        <a:ln>
          <a:noFill/>
        </a:ln>
      </xdr:spPr>
    </xdr:pic>
    <xdr:clientData/>
  </xdr:twoCellAnchor>
  <xdr:twoCellAnchor editAs="oneCell">
    <xdr:from>
      <xdr:col>2</xdr:col>
      <xdr:colOff>133350</xdr:colOff>
      <xdr:row>15</xdr:row>
      <xdr:rowOff>66675</xdr:rowOff>
    </xdr:from>
    <xdr:to>
      <xdr:col>2</xdr:col>
      <xdr:colOff>1162050</xdr:colOff>
      <xdr:row>15</xdr:row>
      <xdr:rowOff>400050</xdr:rowOff>
    </xdr:to>
    <xdr:pic>
      <xdr:nvPicPr>
        <xdr:cNvPr id="16" name="图片 15"/>
        <xdr:cNvPicPr>
          <a:picLocks noChangeAspect="1"/>
        </xdr:cNvPicPr>
      </xdr:nvPicPr>
      <xdr:blipFill>
        <a:blip r:embed="rId6" r:link="rId2"/>
        <a:srcRect l="10237" t="30000" r="11540" b="31111"/>
        <a:stretch>
          <a:fillRect/>
        </a:stretch>
      </xdr:blipFill>
      <xdr:spPr>
        <a:xfrm>
          <a:off x="1428115" y="2301875"/>
          <a:ext cx="1028700" cy="333375"/>
        </a:xfrm>
        <a:prstGeom prst="rect">
          <a:avLst/>
        </a:prstGeom>
        <a:noFill/>
        <a:ln>
          <a:noFill/>
        </a:ln>
      </xdr:spPr>
    </xdr:pic>
    <xdr:clientData/>
  </xdr:twoCellAnchor>
  <xdr:twoCellAnchor editAs="oneCell">
    <xdr:from>
      <xdr:col>2</xdr:col>
      <xdr:colOff>104775</xdr:colOff>
      <xdr:row>16</xdr:row>
      <xdr:rowOff>85725</xdr:rowOff>
    </xdr:from>
    <xdr:to>
      <xdr:col>2</xdr:col>
      <xdr:colOff>1181100</xdr:colOff>
      <xdr:row>16</xdr:row>
      <xdr:rowOff>438150</xdr:rowOff>
    </xdr:to>
    <xdr:pic>
      <xdr:nvPicPr>
        <xdr:cNvPr id="17" name="图片 16"/>
        <xdr:cNvPicPr>
          <a:picLocks noChangeAspect="1"/>
        </xdr:cNvPicPr>
      </xdr:nvPicPr>
      <xdr:blipFill>
        <a:blip r:embed="rId6" r:link="rId2"/>
        <a:srcRect l="8064" t="31891" r="10092" b="27419"/>
        <a:stretch>
          <a:fillRect/>
        </a:stretch>
      </xdr:blipFill>
      <xdr:spPr>
        <a:xfrm>
          <a:off x="1399540" y="2778125"/>
          <a:ext cx="1076325" cy="352425"/>
        </a:xfrm>
        <a:prstGeom prst="rect">
          <a:avLst/>
        </a:prstGeom>
        <a:noFill/>
        <a:ln>
          <a:noFill/>
        </a:ln>
      </xdr:spPr>
    </xdr:pic>
    <xdr:clientData/>
  </xdr:twoCellAnchor>
  <xdr:twoCellAnchor editAs="oneCell">
    <xdr:from>
      <xdr:col>2</xdr:col>
      <xdr:colOff>114300</xdr:colOff>
      <xdr:row>17</xdr:row>
      <xdr:rowOff>66675</xdr:rowOff>
    </xdr:from>
    <xdr:to>
      <xdr:col>2</xdr:col>
      <xdr:colOff>1276350</xdr:colOff>
      <xdr:row>17</xdr:row>
      <xdr:rowOff>447675</xdr:rowOff>
    </xdr:to>
    <xdr:pic>
      <xdr:nvPicPr>
        <xdr:cNvPr id="18" name="图片 17"/>
        <xdr:cNvPicPr>
          <a:picLocks noChangeAspect="1"/>
        </xdr:cNvPicPr>
      </xdr:nvPicPr>
      <xdr:blipFill>
        <a:blip r:embed="rId6" r:link="rId2"/>
        <a:srcRect l="8303" t="29348" r="8212" b="27174"/>
        <a:stretch>
          <a:fillRect/>
        </a:stretch>
      </xdr:blipFill>
      <xdr:spPr>
        <a:xfrm>
          <a:off x="1409065" y="3216275"/>
          <a:ext cx="1162050" cy="381000"/>
        </a:xfrm>
        <a:prstGeom prst="rect">
          <a:avLst/>
        </a:prstGeom>
        <a:noFill/>
        <a:ln>
          <a:noFill/>
        </a:ln>
      </xdr:spPr>
    </xdr:pic>
    <xdr:clientData/>
  </xdr:twoCellAnchor>
  <xdr:twoCellAnchor editAs="oneCell">
    <xdr:from>
      <xdr:col>2</xdr:col>
      <xdr:colOff>123825</xdr:colOff>
      <xdr:row>18</xdr:row>
      <xdr:rowOff>44450</xdr:rowOff>
    </xdr:from>
    <xdr:to>
      <xdr:col>2</xdr:col>
      <xdr:colOff>1182370</xdr:colOff>
      <xdr:row>18</xdr:row>
      <xdr:rowOff>438150</xdr:rowOff>
    </xdr:to>
    <xdr:pic>
      <xdr:nvPicPr>
        <xdr:cNvPr id="19" name="图片 18"/>
        <xdr:cNvPicPr>
          <a:picLocks noChangeAspect="1"/>
        </xdr:cNvPicPr>
      </xdr:nvPicPr>
      <xdr:blipFill>
        <a:blip r:embed="rId7" r:link="rId2"/>
        <a:srcRect l="6977" t="20238" r="13372" b="26207"/>
        <a:stretch>
          <a:fillRect/>
        </a:stretch>
      </xdr:blipFill>
      <xdr:spPr>
        <a:xfrm>
          <a:off x="1418590" y="3651250"/>
          <a:ext cx="1058545" cy="393700"/>
        </a:xfrm>
        <a:prstGeom prst="rect">
          <a:avLst/>
        </a:prstGeom>
        <a:noFill/>
        <a:ln>
          <a:noFill/>
        </a:ln>
      </xdr:spPr>
    </xdr:pic>
    <xdr:clientData/>
  </xdr:twoCellAnchor>
  <xdr:twoCellAnchor editAs="oneCell">
    <xdr:from>
      <xdr:col>2</xdr:col>
      <xdr:colOff>142875</xdr:colOff>
      <xdr:row>19</xdr:row>
      <xdr:rowOff>37465</xdr:rowOff>
    </xdr:from>
    <xdr:to>
      <xdr:col>2</xdr:col>
      <xdr:colOff>1207770</xdr:colOff>
      <xdr:row>19</xdr:row>
      <xdr:rowOff>419735</xdr:rowOff>
    </xdr:to>
    <xdr:pic>
      <xdr:nvPicPr>
        <xdr:cNvPr id="20" name="图片 19"/>
        <xdr:cNvPicPr>
          <a:picLocks noChangeAspect="1"/>
        </xdr:cNvPicPr>
      </xdr:nvPicPr>
      <xdr:blipFill>
        <a:blip r:embed="rId7" r:link="rId2"/>
        <a:srcRect l="6928" t="19743" r="11991" b="25731"/>
        <a:stretch>
          <a:fillRect/>
        </a:stretch>
      </xdr:blipFill>
      <xdr:spPr>
        <a:xfrm>
          <a:off x="1437640" y="4101465"/>
          <a:ext cx="1064895" cy="382270"/>
        </a:xfrm>
        <a:prstGeom prst="rect">
          <a:avLst/>
        </a:prstGeom>
        <a:noFill/>
        <a:ln>
          <a:noFill/>
        </a:ln>
      </xdr:spPr>
    </xdr:pic>
    <xdr:clientData/>
  </xdr:twoCellAnchor>
  <xdr:twoCellAnchor editAs="oneCell">
    <xdr:from>
      <xdr:col>2</xdr:col>
      <xdr:colOff>114300</xdr:colOff>
      <xdr:row>20</xdr:row>
      <xdr:rowOff>19050</xdr:rowOff>
    </xdr:from>
    <xdr:to>
      <xdr:col>2</xdr:col>
      <xdr:colOff>1098550</xdr:colOff>
      <xdr:row>21</xdr:row>
      <xdr:rowOff>371475</xdr:rowOff>
    </xdr:to>
    <xdr:pic>
      <xdr:nvPicPr>
        <xdr:cNvPr id="21" name="图片 20"/>
        <xdr:cNvPicPr>
          <a:picLocks noChangeAspect="1"/>
        </xdr:cNvPicPr>
      </xdr:nvPicPr>
      <xdr:blipFill>
        <a:blip r:embed="rId7" r:link="rId2"/>
        <a:srcRect l="8082" t="18293" r="11323" b="32606"/>
        <a:stretch>
          <a:fillRect/>
        </a:stretch>
      </xdr:blipFill>
      <xdr:spPr>
        <a:xfrm>
          <a:off x="1409065" y="4521200"/>
          <a:ext cx="984250" cy="371475"/>
        </a:xfrm>
        <a:prstGeom prst="rect">
          <a:avLst/>
        </a:prstGeom>
        <a:noFill/>
        <a:ln>
          <a:noFill/>
        </a:ln>
      </xdr:spPr>
    </xdr:pic>
    <xdr:clientData/>
  </xdr:twoCellAnchor>
  <xdr:twoCellAnchor editAs="oneCell">
    <xdr:from>
      <xdr:col>2</xdr:col>
      <xdr:colOff>85725</xdr:colOff>
      <xdr:row>21</xdr:row>
      <xdr:rowOff>28575</xdr:rowOff>
    </xdr:from>
    <xdr:to>
      <xdr:col>2</xdr:col>
      <xdr:colOff>1057275</xdr:colOff>
      <xdr:row>21</xdr:row>
      <xdr:rowOff>409575</xdr:rowOff>
    </xdr:to>
    <xdr:pic>
      <xdr:nvPicPr>
        <xdr:cNvPr id="22" name="图片 21"/>
        <xdr:cNvPicPr>
          <a:picLocks noChangeAspect="1"/>
        </xdr:cNvPicPr>
      </xdr:nvPicPr>
      <xdr:blipFill>
        <a:blip r:embed="rId7" r:link="rId2"/>
        <a:srcRect t="14822" b="25889"/>
        <a:stretch>
          <a:fillRect/>
        </a:stretch>
      </xdr:blipFill>
      <xdr:spPr>
        <a:xfrm>
          <a:off x="1380490" y="4549775"/>
          <a:ext cx="971550" cy="381000"/>
        </a:xfrm>
        <a:prstGeom prst="rect">
          <a:avLst/>
        </a:prstGeom>
        <a:noFill/>
        <a:ln>
          <a:noFill/>
        </a:ln>
      </xdr:spPr>
    </xdr:pic>
    <xdr:clientData/>
  </xdr:twoCellAnchor>
  <xdr:twoCellAnchor editAs="oneCell">
    <xdr:from>
      <xdr:col>2</xdr:col>
      <xdr:colOff>143510</xdr:colOff>
      <xdr:row>22</xdr:row>
      <xdr:rowOff>38100</xdr:rowOff>
    </xdr:from>
    <xdr:to>
      <xdr:col>2</xdr:col>
      <xdr:colOff>1125220</xdr:colOff>
      <xdr:row>22</xdr:row>
      <xdr:rowOff>409575</xdr:rowOff>
    </xdr:to>
    <xdr:pic>
      <xdr:nvPicPr>
        <xdr:cNvPr id="23" name="图片 22"/>
        <xdr:cNvPicPr>
          <a:picLocks noChangeAspect="1"/>
        </xdr:cNvPicPr>
      </xdr:nvPicPr>
      <xdr:blipFill>
        <a:blip r:embed="rId7" r:link="rId2"/>
        <a:srcRect l="6018" t="15571" r="7472" b="28027"/>
        <a:stretch>
          <a:fillRect/>
        </a:stretch>
      </xdr:blipFill>
      <xdr:spPr>
        <a:xfrm>
          <a:off x="1438275" y="5016500"/>
          <a:ext cx="981710" cy="371475"/>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1&#12289;&#24191;&#19996;&#19990;&#28844;\6&#12289;&#25237;&#26631;&#30456;&#20851;&#36164;&#26009;\6&#12289;&#25237;&#26631;&#29992;&#36164;&#26009;" TargetMode="External"/><Relationship Id="rId8" Type="http://schemas.openxmlformats.org/officeDocument/2006/relationships/hyperlink" Target="1&#12289;&#24191;&#19996;&#19990;&#28844;\6&#12289;&#25237;&#26631;&#30456;&#20851;&#36164;&#26009;\5&#12289;&#20844;&#21496;&#36164;&#20135;" TargetMode="External"/><Relationship Id="rId7" Type="http://schemas.openxmlformats.org/officeDocument/2006/relationships/hyperlink" Target="1&#12289;&#24191;&#19996;&#19990;&#28844;\5&#12289;&#35748;&#35777;&#20307;&#31995;&#31867;&#35777;&#20070;" TargetMode="External"/><Relationship Id="rId6" Type="http://schemas.openxmlformats.org/officeDocument/2006/relationships/hyperlink" Target="1&#12289;&#24191;&#19996;&#19990;&#28844;\4&#12289;&#21830;&#26631;&#35777;&#20070;" TargetMode="External"/><Relationship Id="rId5" Type="http://schemas.openxmlformats.org/officeDocument/2006/relationships/hyperlink" Target="1&#12289;&#24191;&#19996;&#19990;&#28844;\2&#12289;&#20135;&#21697;&#35748;&#35777;&#31867;&#36164;&#36136;\&#20135;&#21697;&#35748;&#35777;" TargetMode="External"/><Relationship Id="rId4" Type="http://schemas.openxmlformats.org/officeDocument/2006/relationships/hyperlink" Target="1&#12289;&#24191;&#19996;&#19990;&#28844;\2&#12289;&#20135;&#21697;&#35748;&#35777;&#31867;&#36164;&#36136;\&#36719;&#33879;&#35777;&#20070;" TargetMode="External"/><Relationship Id="rId3" Type="http://schemas.openxmlformats.org/officeDocument/2006/relationships/hyperlink" Target="1&#12289;&#24191;&#19996;&#19990;&#28844;\2&#12289;&#20135;&#21697;&#35748;&#35777;&#31867;&#36164;&#36136;\&#19987;&#21033;&#35777;&#20070;" TargetMode="External"/><Relationship Id="rId2" Type="http://schemas.openxmlformats.org/officeDocument/2006/relationships/hyperlink" Target="1&#12289;&#24191;&#19996;&#19990;&#28844;\3&#12289;&#33635;&#35465;&#22870;&#39033;&#31867;&#36164;&#36136;" TargetMode="External"/><Relationship Id="rId1" Type="http://schemas.openxmlformats.org/officeDocument/2006/relationships/hyperlink" Target="1&#12289;&#24191;&#19996;&#19990;&#28844;\1&#12289;&#32463;&#33829;&#19994;&#21153;&#31867;&#36164;&#3613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tax.guangdong.chinatax.gov.cn/xxmh/html/index_origin.html?gopage=true&amp;m1=gzcx&amp;m2=&amp;fromWhere=&amp;qxkzsx=0&amp;tabTitle=null&amp;cdId=dlqcd-1&amp;gnDm=gndm-dlqcd-1"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5" Type="http://schemas.openxmlformats.org/officeDocument/2006/relationships/hyperlink" Target="https://www.gdcie.org.cn/News_View.aspx?classId=169&amp;pclassId=168&amp;kindId=6&amp;id=20318" TargetMode="External"/><Relationship Id="rId4" Type="http://schemas.openxmlformats.org/officeDocument/2006/relationships/hyperlink" Target="http://gdii.gd.gov.cn/zwgk/tzgg1011/content/post_4301846.html" TargetMode="External"/><Relationship Id="rId3" Type="http://schemas.openxmlformats.org/officeDocument/2006/relationships/hyperlink" Target="https://qccdata.qichacha.com/TechnologyCompany/1a775059080bc368b67e29e2b7eb7871.pdf" TargetMode="External"/><Relationship Id="rId2" Type="http://schemas.openxmlformats.org/officeDocument/2006/relationships/hyperlink" Target="https://www.elecfans.com/d/2331704.html" TargetMode="External"/><Relationship Id="rId1" Type="http://schemas.openxmlformats.org/officeDocument/2006/relationships/hyperlink" Target="https://www.5gaia.org.cn/Five/News/Detail/619%20%20&#65288;&#39033;&#30446;&#32534;&#21495;&#65306;54857&#65289;"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qcc.com/firm/662f2988174bd3593bdaf3959e3cfcd7.html" TargetMode="External"/><Relationship Id="rId1" Type="http://schemas.openxmlformats.org/officeDocument/2006/relationships/hyperlink" Target="https://www.qcc.com/firm/s36bc291ae6a652e902cd1ee50ac4ec7.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11"/>
  <sheetViews>
    <sheetView topLeftCell="A2" workbookViewId="0">
      <selection activeCell="C11" sqref="C11"/>
    </sheetView>
  </sheetViews>
  <sheetFormatPr defaultColWidth="9" defaultRowHeight="12" outlineLevelCol="2"/>
  <cols>
    <col min="1" max="1" width="8.63636363636364" style="27" customWidth="1"/>
    <col min="2" max="2" width="25.3636363636364" style="27" customWidth="1"/>
    <col min="3" max="3" width="65.6363636363636" style="36" customWidth="1"/>
    <col min="4" max="16384" width="9" style="36"/>
  </cols>
  <sheetData>
    <row r="1" s="113" customFormat="1" ht="27" customHeight="1" spans="1:3">
      <c r="A1" s="114" t="s">
        <v>0</v>
      </c>
      <c r="B1" s="114"/>
      <c r="C1" s="114"/>
    </row>
    <row r="2" ht="21" customHeight="1" spans="1:3">
      <c r="A2" s="115" t="s">
        <v>1</v>
      </c>
      <c r="B2" s="115" t="s">
        <v>2</v>
      </c>
      <c r="C2" s="115" t="s">
        <v>3</v>
      </c>
    </row>
    <row r="3" ht="21" customHeight="1" spans="1:3">
      <c r="A3" s="27">
        <v>1</v>
      </c>
      <c r="B3" s="116" t="s">
        <v>4</v>
      </c>
      <c r="C3" s="117" t="s">
        <v>5</v>
      </c>
    </row>
    <row r="4" ht="21" customHeight="1" spans="1:3">
      <c r="A4" s="27">
        <v>2</v>
      </c>
      <c r="B4" s="116" t="s">
        <v>6</v>
      </c>
      <c r="C4" s="117" t="s">
        <v>7</v>
      </c>
    </row>
    <row r="5" ht="21" customHeight="1" spans="1:3">
      <c r="A5" s="27">
        <v>3</v>
      </c>
      <c r="B5" s="118" t="s">
        <v>8</v>
      </c>
      <c r="C5" s="119" t="s">
        <v>9</v>
      </c>
    </row>
    <row r="6" ht="21" customHeight="1" spans="1:3">
      <c r="A6" s="27">
        <v>4</v>
      </c>
      <c r="B6" s="116" t="s">
        <v>10</v>
      </c>
      <c r="C6" s="117" t="s">
        <v>11</v>
      </c>
    </row>
    <row r="7" ht="21" customHeight="1" spans="1:3">
      <c r="A7" s="27">
        <v>5</v>
      </c>
      <c r="B7" s="120" t="s">
        <v>12</v>
      </c>
      <c r="C7" s="117" t="s">
        <v>13</v>
      </c>
    </row>
    <row r="8" ht="21" customHeight="1" spans="1:3">
      <c r="A8" s="27">
        <v>6</v>
      </c>
      <c r="B8" s="121" t="s">
        <v>14</v>
      </c>
      <c r="C8" s="119" t="s">
        <v>15</v>
      </c>
    </row>
    <row r="9" ht="21" customHeight="1" spans="1:3">
      <c r="A9" s="27">
        <v>7</v>
      </c>
      <c r="B9" s="120" t="s">
        <v>16</v>
      </c>
      <c r="C9" s="117" t="s">
        <v>17</v>
      </c>
    </row>
    <row r="10" ht="21" customHeight="1" spans="1:3">
      <c r="A10" s="27">
        <v>8</v>
      </c>
      <c r="B10" s="118" t="s">
        <v>18</v>
      </c>
      <c r="C10" s="117" t="s">
        <v>19</v>
      </c>
    </row>
    <row r="11" ht="24" customHeight="1" spans="1:3">
      <c r="A11" s="27">
        <v>9</v>
      </c>
      <c r="B11" s="122" t="s">
        <v>20</v>
      </c>
      <c r="C11" s="117" t="s">
        <v>21</v>
      </c>
    </row>
  </sheetData>
  <mergeCells count="1">
    <mergeCell ref="A1:C1"/>
  </mergeCells>
  <hyperlinks>
    <hyperlink ref="B7" location="'5、ISO系列认证'!A1" display="ISO系列认证"/>
    <hyperlink ref="B3" location="'1、基础资质'!A1" display="基础资质"/>
    <hyperlink ref="B4" location="'2、荣誉、奖项证书'!A1" display="荣誉、奖项证书"/>
    <hyperlink ref="B5" location="'3、专利证书'!A1" display="专利证书"/>
    <hyperlink ref="B6" location="'4、软著证书'!A1" display="软著证书"/>
    <hyperlink ref="B8" location="'6、产品认证'!A1" display="产品认证"/>
    <hyperlink ref="B9" location="'7、商标证书'!A1" display="商标认证"/>
    <hyperlink ref="B10" location="'8、公司资产'!A1" display="公司资产"/>
    <hyperlink ref="C3" r:id="rId1" display=":\公司基本信息\1、广州世炬\1、经营业务类资质"/>
    <hyperlink ref="C4" r:id="rId2" display=":\公司基本信息\1、广州世炬\3、荣誉奖项类资质"/>
    <hyperlink ref="C5" r:id="rId3" display=":\公司基本信息\1、广东世炬\2、产品认证类资质\专利证书"/>
    <hyperlink ref="C6" r:id="rId4" display=":\公司基本信息\1、广东世炬\2、产品认证类资质\软著证书"/>
    <hyperlink ref="C8" r:id="rId5" display=":\公司基本信息\1、广东世炬\2、产品认证类资质\产品认证"/>
    <hyperlink ref="C9" r:id="rId6" display=":\公司基本信息\1、广东世炬\4、商标证书"/>
    <hyperlink ref="C7" r:id="rId7" display=":\公司基本信息\1、广东世炬\5、认证体系类证书"/>
    <hyperlink ref="C10" r:id="rId8" display=":\公司基本信息\1、广东世炬\6、投标相关资料\6、公司资产"/>
    <hyperlink ref="B11" location="'9、投标用资料'!A1" display="投标用资料"/>
    <hyperlink ref="C11" r:id="rId9" display="Z:\公司基本信息\1、广东世炬\6、投标相关资料\7、投标用资料"/>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7"/>
  <sheetViews>
    <sheetView workbookViewId="0">
      <pane ySplit="1" topLeftCell="A2" activePane="bottomLeft" state="frozen"/>
      <selection/>
      <selection pane="bottomLeft" activeCell="A8" sqref="$A8:$XFD10"/>
    </sheetView>
  </sheetViews>
  <sheetFormatPr defaultColWidth="9" defaultRowHeight="21" customHeight="1" outlineLevelRow="6"/>
  <cols>
    <col min="1" max="1" width="5.63636363636364" style="21" customWidth="1"/>
    <col min="2" max="2" width="27.9090909090909" style="100" customWidth="1"/>
    <col min="3" max="3" width="31.2636363636364" style="50" customWidth="1"/>
    <col min="4" max="4" width="15.9090909090909" style="48" customWidth="1"/>
    <col min="5" max="5" width="10.0909090909091" style="46"/>
    <col min="6" max="6" width="3.45454545454545" style="21" customWidth="1"/>
    <col min="7" max="7" width="11.2636363636364" style="46"/>
    <col min="8" max="8" width="19.0909090909091" style="48" customWidth="1"/>
    <col min="9" max="9" width="9" style="101"/>
    <col min="10" max="10" width="9" style="102"/>
    <col min="11" max="11" width="15.7272727272727" style="102" customWidth="1"/>
    <col min="12" max="16384" width="9" style="21"/>
  </cols>
  <sheetData>
    <row r="1" customHeight="1" spans="1:11">
      <c r="A1" s="103" t="s">
        <v>1</v>
      </c>
      <c r="B1" s="25" t="s">
        <v>22</v>
      </c>
      <c r="C1" s="24" t="s">
        <v>23</v>
      </c>
      <c r="D1" s="24" t="s">
        <v>24</v>
      </c>
      <c r="E1" s="104" t="s">
        <v>25</v>
      </c>
      <c r="F1" s="105"/>
      <c r="G1" s="105"/>
      <c r="H1" s="24" t="s">
        <v>26</v>
      </c>
      <c r="I1" s="33" t="s">
        <v>27</v>
      </c>
      <c r="J1" s="111" t="s">
        <v>28</v>
      </c>
      <c r="K1" s="111" t="s">
        <v>29</v>
      </c>
    </row>
    <row r="2" s="99" customFormat="1" ht="25" customHeight="1" spans="1:11">
      <c r="A2" s="99">
        <v>1</v>
      </c>
      <c r="B2" s="106" t="s">
        <v>30</v>
      </c>
      <c r="C2" s="81" t="s">
        <v>31</v>
      </c>
      <c r="D2" s="107"/>
      <c r="E2" s="108">
        <v>45348</v>
      </c>
      <c r="F2" s="109" t="s">
        <v>32</v>
      </c>
      <c r="G2" s="110"/>
      <c r="H2" s="82"/>
      <c r="I2" s="35" t="str">
        <f ca="1" t="shared" ref="I2:I10" si="0">IF(G2="","有效",IF(G2-TODAY()&lt;0,"失效",IF(G2-TODAY()&gt;=20,"有效",IF(AND(G2-TODAY()&gt;0,G2-TODAY()&lt;20),"临期"))))</f>
        <v>有效</v>
      </c>
      <c r="J2" s="112" t="s">
        <v>33</v>
      </c>
      <c r="K2" s="112" t="s">
        <v>33</v>
      </c>
    </row>
    <row r="3" s="99" customFormat="1" ht="25" customHeight="1" spans="1:11">
      <c r="A3" s="99">
        <v>2</v>
      </c>
      <c r="B3" s="106" t="s">
        <v>34</v>
      </c>
      <c r="C3" s="81" t="s">
        <v>35</v>
      </c>
      <c r="D3" s="82" t="s">
        <v>36</v>
      </c>
      <c r="E3" s="108">
        <v>45348</v>
      </c>
      <c r="F3" s="109" t="s">
        <v>32</v>
      </c>
      <c r="G3" s="108"/>
      <c r="H3" s="82"/>
      <c r="I3" s="35" t="str">
        <f ca="1" t="shared" si="0"/>
        <v>有效</v>
      </c>
      <c r="J3" s="112" t="s">
        <v>33</v>
      </c>
      <c r="K3" s="112" t="s">
        <v>33</v>
      </c>
    </row>
    <row r="4" s="99" customFormat="1" ht="25" customHeight="1" spans="1:11">
      <c r="A4" s="99">
        <v>3</v>
      </c>
      <c r="B4" s="106" t="s">
        <v>37</v>
      </c>
      <c r="C4" s="81" t="s">
        <v>38</v>
      </c>
      <c r="D4" s="107" t="s">
        <v>39</v>
      </c>
      <c r="E4" s="108">
        <v>45370</v>
      </c>
      <c r="F4" s="109" t="s">
        <v>32</v>
      </c>
      <c r="G4" s="108"/>
      <c r="H4" s="107"/>
      <c r="I4" s="35" t="str">
        <f ca="1" t="shared" si="0"/>
        <v>有效</v>
      </c>
      <c r="J4" s="112" t="s">
        <v>33</v>
      </c>
      <c r="K4" s="112" t="s">
        <v>33</v>
      </c>
    </row>
    <row r="5" s="99" customFormat="1" ht="25" customHeight="1" spans="1:11">
      <c r="A5" s="99">
        <v>4</v>
      </c>
      <c r="B5" s="106" t="s">
        <v>40</v>
      </c>
      <c r="C5" s="81" t="s">
        <v>41</v>
      </c>
      <c r="D5" s="107">
        <v>4842276</v>
      </c>
      <c r="E5" s="108">
        <v>44439</v>
      </c>
      <c r="F5" s="109" t="s">
        <v>32</v>
      </c>
      <c r="G5" s="108"/>
      <c r="H5" s="82" t="s">
        <v>42</v>
      </c>
      <c r="I5" s="35" t="str">
        <f ca="1" t="shared" si="0"/>
        <v>有效</v>
      </c>
      <c r="J5" s="112" t="s">
        <v>33</v>
      </c>
      <c r="K5" s="112" t="s">
        <v>33</v>
      </c>
    </row>
    <row r="6" s="99" customFormat="1" ht="25" customHeight="1" spans="1:11">
      <c r="A6" s="99">
        <v>5</v>
      </c>
      <c r="B6" s="106" t="s">
        <v>43</v>
      </c>
      <c r="C6" s="81" t="s">
        <v>44</v>
      </c>
      <c r="D6" s="107"/>
      <c r="E6" s="108">
        <v>44526</v>
      </c>
      <c r="F6" s="109" t="s">
        <v>32</v>
      </c>
      <c r="G6" s="110"/>
      <c r="H6" s="107"/>
      <c r="I6" s="35" t="str">
        <f ca="1" t="shared" si="0"/>
        <v>有效</v>
      </c>
      <c r="J6" s="112" t="s">
        <v>33</v>
      </c>
      <c r="K6" s="112" t="s">
        <v>33</v>
      </c>
    </row>
    <row r="7" s="99" customFormat="1" ht="25" customHeight="1" spans="1:11">
      <c r="A7" s="99">
        <v>6</v>
      </c>
      <c r="B7" s="106" t="s">
        <v>45</v>
      </c>
      <c r="C7" s="81" t="s">
        <v>46</v>
      </c>
      <c r="D7" s="107"/>
      <c r="E7" s="108">
        <v>42248</v>
      </c>
      <c r="F7" s="109" t="s">
        <v>32</v>
      </c>
      <c r="G7" s="110"/>
      <c r="H7" s="107" t="s">
        <v>47</v>
      </c>
      <c r="I7" s="35" t="str">
        <f ca="1" t="shared" si="0"/>
        <v>有效</v>
      </c>
      <c r="J7" s="112" t="s">
        <v>33</v>
      </c>
      <c r="K7" s="112" t="s">
        <v>48</v>
      </c>
    </row>
  </sheetData>
  <autoFilter ref="A1:H7">
    <extLst/>
  </autoFilter>
  <mergeCells count="1">
    <mergeCell ref="E1:G1"/>
  </mergeCells>
  <conditionalFormatting sqref="A$1:K$1048576">
    <cfRule type="expression" dxfId="0" priority="1">
      <formula>$I1="失效"</formula>
    </cfRule>
  </conditionalFormatting>
  <hyperlinks>
    <hyperlink ref="A1" location="目录!A1" display="序号"/>
    <hyperlink ref="H7" r:id="rId3" location="none" display="https://etax.guangdong.chinatax.gov.cn/xxmh/html/index_origin.html?gopage=true&amp;m1=gzcx&amp;m2=&amp;fromWhere=&amp;qxkzsx=0&amp;tabTitle=null&amp;cdId=dlqcd-1&amp;gnDm=gndm-dlqcd-1#none"/>
  </hyperlink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O50"/>
  <sheetViews>
    <sheetView zoomScale="110" zoomScaleNormal="110" workbookViewId="0">
      <pane xSplit="4" ySplit="1" topLeftCell="E2" activePane="bottomRight" state="frozen"/>
      <selection/>
      <selection pane="topRight"/>
      <selection pane="bottomLeft"/>
      <selection pane="bottomRight" activeCell="B13" sqref="B13"/>
    </sheetView>
  </sheetViews>
  <sheetFormatPr defaultColWidth="9" defaultRowHeight="12"/>
  <cols>
    <col min="1" max="1" width="6.81818181818182" style="45" customWidth="1"/>
    <col min="2" max="2" width="26.9090909090909" style="49" customWidth="1"/>
    <col min="3" max="3" width="11" style="45" customWidth="1"/>
    <col min="4" max="4" width="10.9090909090909" style="75" customWidth="1"/>
    <col min="5" max="5" width="18.2636363636364" style="75" customWidth="1"/>
    <col min="6" max="6" width="24.0909090909091" style="75" customWidth="1"/>
    <col min="7" max="7" width="14.0909090909091" style="51" customWidth="1"/>
    <col min="8" max="8" width="9.72727272727273" style="51"/>
    <col min="9" max="9" width="12.2636363636364" style="51" customWidth="1"/>
    <col min="10" max="10" width="17.6363636363636" style="51" customWidth="1"/>
    <col min="11" max="11" width="9" style="51"/>
    <col min="12" max="12" width="9" style="76"/>
    <col min="13" max="14" width="9" style="77"/>
    <col min="15" max="15" width="9.72727272727273" style="51" customWidth="1"/>
    <col min="16" max="16384" width="9" style="51"/>
  </cols>
  <sheetData>
    <row r="1" ht="28" customHeight="1" spans="1:15">
      <c r="A1" s="78" t="s">
        <v>1</v>
      </c>
      <c r="B1" s="79" t="s">
        <v>49</v>
      </c>
      <c r="C1" s="79" t="s">
        <v>50</v>
      </c>
      <c r="D1" s="79" t="s">
        <v>51</v>
      </c>
      <c r="E1" s="80" t="s">
        <v>52</v>
      </c>
      <c r="F1" s="80" t="s">
        <v>53</v>
      </c>
      <c r="G1" s="79" t="s">
        <v>54</v>
      </c>
      <c r="H1" s="79" t="s">
        <v>55</v>
      </c>
      <c r="I1" s="79" t="s">
        <v>24</v>
      </c>
      <c r="J1" s="79" t="s">
        <v>56</v>
      </c>
      <c r="K1" s="79" t="s">
        <v>26</v>
      </c>
      <c r="L1" s="33" t="s">
        <v>27</v>
      </c>
      <c r="M1" s="56" t="s">
        <v>28</v>
      </c>
      <c r="N1" s="56" t="s">
        <v>29</v>
      </c>
      <c r="O1" s="51" t="s">
        <v>57</v>
      </c>
    </row>
    <row r="2" s="60" customFormat="1" ht="21" customHeight="1" spans="1:15">
      <c r="A2" s="81">
        <v>1</v>
      </c>
      <c r="B2" s="81" t="s">
        <v>58</v>
      </c>
      <c r="C2" s="82" t="s">
        <v>59</v>
      </c>
      <c r="D2" s="82" t="s">
        <v>60</v>
      </c>
      <c r="E2" s="82" t="s">
        <v>61</v>
      </c>
      <c r="F2" s="75">
        <v>45389</v>
      </c>
      <c r="G2" s="75" t="s">
        <v>62</v>
      </c>
      <c r="H2" s="75"/>
      <c r="I2" s="45"/>
      <c r="J2" s="51" t="s">
        <v>63</v>
      </c>
      <c r="K2" s="45" t="s">
        <v>64</v>
      </c>
      <c r="L2" s="35" t="str">
        <f ca="1">IF(H2="","有效",IF(H2-TODAY()&lt;0,"失效",IF(H2-TODAY()&gt;=20,"有效",IF(AND(H2-TODAY()&gt;0,H2-TODAY()&lt;20),"临期"))))</f>
        <v>有效</v>
      </c>
      <c r="M2" s="89"/>
      <c r="N2" s="89"/>
      <c r="O2" s="60" t="s">
        <v>65</v>
      </c>
    </row>
    <row r="3" s="60" customFormat="1" ht="21" customHeight="1" spans="1:15">
      <c r="A3" s="81">
        <v>2</v>
      </c>
      <c r="B3" s="81" t="s">
        <v>66</v>
      </c>
      <c r="C3" s="82" t="s">
        <v>59</v>
      </c>
      <c r="D3" s="82" t="s">
        <v>67</v>
      </c>
      <c r="E3" s="82" t="s">
        <v>68</v>
      </c>
      <c r="F3" s="75">
        <v>45316</v>
      </c>
      <c r="G3" s="75" t="s">
        <v>69</v>
      </c>
      <c r="H3" s="75">
        <v>46383</v>
      </c>
      <c r="I3" s="45" t="s">
        <v>70</v>
      </c>
      <c r="J3" s="51" t="s">
        <v>71</v>
      </c>
      <c r="K3" s="82"/>
      <c r="L3" s="35" t="str">
        <f ca="1">IF(H3="","有效",IF(H3-TODAY()&lt;0,"失效",IF(H3-TODAY()&gt;=20,"有效",IF(AND(H3-TODAY()&gt;0,H3-TODAY()&lt;20),"临期"))))</f>
        <v>有效</v>
      </c>
      <c r="M3" s="90" t="s">
        <v>33</v>
      </c>
      <c r="N3" s="90" t="s">
        <v>33</v>
      </c>
      <c r="O3" s="60" t="s">
        <v>65</v>
      </c>
    </row>
    <row r="4" s="60" customFormat="1" ht="21" customHeight="1" spans="1:14">
      <c r="A4" s="81">
        <v>3</v>
      </c>
      <c r="B4" s="81" t="s">
        <v>60</v>
      </c>
      <c r="C4" s="82" t="s">
        <v>59</v>
      </c>
      <c r="D4" s="82" t="s">
        <v>60</v>
      </c>
      <c r="E4" s="82" t="s">
        <v>72</v>
      </c>
      <c r="F4" s="75">
        <v>45264</v>
      </c>
      <c r="G4" s="75">
        <v>45264</v>
      </c>
      <c r="H4" s="75"/>
      <c r="I4" s="45"/>
      <c r="J4" s="51" t="s">
        <v>73</v>
      </c>
      <c r="K4" s="82"/>
      <c r="L4" s="35" t="str">
        <f ca="1">IF(H4="","有效",IF(H4-TODAY()&lt;0,"失效",IF(H4-TODAY()&gt;=20,"有效",IF(AND(H4-TODAY()&gt;0,H4-TODAY()&lt;20),"临期"))))</f>
        <v>有效</v>
      </c>
      <c r="M4" s="90"/>
      <c r="N4" s="90"/>
    </row>
    <row r="5" s="60" customFormat="1" ht="21" customHeight="1" spans="1:15">
      <c r="A5" s="81">
        <v>4</v>
      </c>
      <c r="B5" s="81" t="s">
        <v>74</v>
      </c>
      <c r="C5" s="82" t="s">
        <v>59</v>
      </c>
      <c r="D5" s="82" t="s">
        <v>60</v>
      </c>
      <c r="E5" s="82" t="s">
        <v>72</v>
      </c>
      <c r="F5" s="123" t="s">
        <v>75</v>
      </c>
      <c r="G5" s="75" t="s">
        <v>76</v>
      </c>
      <c r="H5" s="75"/>
      <c r="I5" s="45"/>
      <c r="J5" s="51" t="s">
        <v>77</v>
      </c>
      <c r="K5" s="82"/>
      <c r="L5" s="35" t="str">
        <f ca="1">IF(H5="","有效",IF(H5-TODAY()&lt;0,"失效",IF(H5-TODAY()&gt;=20,"有效",IF(AND(H5-TODAY()&gt;0,H5-TODAY()&lt;20),"临期"))))</f>
        <v>有效</v>
      </c>
      <c r="M5" s="89"/>
      <c r="N5" s="89"/>
      <c r="O5" s="60" t="s">
        <v>65</v>
      </c>
    </row>
    <row r="6" ht="24" customHeight="1" spans="1:15">
      <c r="A6" s="81">
        <v>5</v>
      </c>
      <c r="B6" s="81" t="s">
        <v>78</v>
      </c>
      <c r="C6" s="82" t="s">
        <v>59</v>
      </c>
      <c r="D6" s="82" t="s">
        <v>60</v>
      </c>
      <c r="E6" s="82" t="s">
        <v>72</v>
      </c>
      <c r="F6" s="75">
        <v>45264</v>
      </c>
      <c r="G6" s="75">
        <v>45283</v>
      </c>
      <c r="H6" s="75"/>
      <c r="I6" s="45"/>
      <c r="J6" s="91" t="s">
        <v>79</v>
      </c>
      <c r="K6" s="82" t="s">
        <v>80</v>
      </c>
      <c r="L6" s="35" t="str">
        <f ca="1">IF(H6="","有效",IF(H6-TODAY()&lt;0,"失效",IF(H6-TODAY()&gt;=20,"有效",IF(AND(H6-TODAY()&gt;0,H6-TODAY()&lt;20),"临期"))))</f>
        <v>有效</v>
      </c>
      <c r="O6" s="51" t="s">
        <v>65</v>
      </c>
    </row>
    <row r="7" ht="24" customHeight="1" spans="1:12">
      <c r="A7" s="81">
        <v>6</v>
      </c>
      <c r="B7" s="81" t="s">
        <v>81</v>
      </c>
      <c r="C7" s="82" t="s">
        <v>59</v>
      </c>
      <c r="D7" s="82" t="s">
        <v>60</v>
      </c>
      <c r="E7" s="82" t="s">
        <v>82</v>
      </c>
      <c r="G7" s="75" t="s">
        <v>83</v>
      </c>
      <c r="H7" s="75"/>
      <c r="I7" s="45"/>
      <c r="J7" s="51" t="s">
        <v>84</v>
      </c>
      <c r="L7" s="35" t="str">
        <f ca="1">IF(H7="","有效",IF(H7-TODAY()&lt;0,"失效",IF(H7-TODAY()&gt;=20,"有效",IF(AND(H7-TODAY()&gt;0,H7-TODAY()&lt;20),"临期"))))</f>
        <v>有效</v>
      </c>
    </row>
    <row r="8" s="60" customFormat="1" ht="21" customHeight="1" spans="1:14">
      <c r="A8" s="81">
        <v>7</v>
      </c>
      <c r="B8" s="81" t="s">
        <v>85</v>
      </c>
      <c r="C8" s="82" t="s">
        <v>86</v>
      </c>
      <c r="D8" s="82" t="s">
        <v>60</v>
      </c>
      <c r="E8" s="82" t="s">
        <v>87</v>
      </c>
      <c r="F8" s="83">
        <v>45257</v>
      </c>
      <c r="G8" s="75">
        <v>45265</v>
      </c>
      <c r="H8" s="82"/>
      <c r="I8" s="92"/>
      <c r="J8" s="60" t="s">
        <v>88</v>
      </c>
      <c r="K8" s="51" t="s">
        <v>80</v>
      </c>
      <c r="L8" s="35" t="str">
        <f ca="1">IF(H8="","有效",IF(H8-TODAY()&lt;0,"失效",IF(H8-TODAY()&gt;=20,"有效",IF(AND(H8-TODAY()&gt;0,H8-TODAY()&lt;20),"临期"))))</f>
        <v>有效</v>
      </c>
      <c r="M8" s="89"/>
      <c r="N8" s="89"/>
    </row>
    <row r="9" s="60" customFormat="1" ht="21" customHeight="1" spans="1:14">
      <c r="A9" s="81">
        <v>8</v>
      </c>
      <c r="B9" s="81" t="s">
        <v>89</v>
      </c>
      <c r="C9" s="82" t="s">
        <v>59</v>
      </c>
      <c r="D9" s="82" t="s">
        <v>90</v>
      </c>
      <c r="E9" s="82" t="s">
        <v>91</v>
      </c>
      <c r="F9" s="83">
        <v>45287</v>
      </c>
      <c r="G9" s="84">
        <v>45287</v>
      </c>
      <c r="H9" s="82"/>
      <c r="I9" s="92"/>
      <c r="J9" s="60" t="s">
        <v>92</v>
      </c>
      <c r="K9" s="92"/>
      <c r="L9" s="35" t="str">
        <f ca="1">IF(H9="","有效",IF(H9-TODAY()&lt;0,"失效",IF(H9-TODAY()&gt;=20,"有效",IF(AND(H9-TODAY()&gt;0,H9-TODAY()&lt;20),"临期"))))</f>
        <v>有效</v>
      </c>
      <c r="M9" s="89"/>
      <c r="N9" s="89"/>
    </row>
    <row r="10" s="60" customFormat="1" ht="21" customHeight="1" spans="1:15">
      <c r="A10" s="81">
        <v>9</v>
      </c>
      <c r="B10" s="81" t="s">
        <v>93</v>
      </c>
      <c r="C10" s="82" t="s">
        <v>59</v>
      </c>
      <c r="D10" s="82" t="s">
        <v>90</v>
      </c>
      <c r="E10" s="82" t="s">
        <v>94</v>
      </c>
      <c r="F10" s="124" t="s">
        <v>95</v>
      </c>
      <c r="G10" s="124" t="s">
        <v>95</v>
      </c>
      <c r="H10" s="83">
        <f>G10+365*5</f>
        <v>46295</v>
      </c>
      <c r="I10" s="92"/>
      <c r="J10" s="60" t="s">
        <v>96</v>
      </c>
      <c r="K10" s="60" t="s">
        <v>97</v>
      </c>
      <c r="L10" s="35" t="str">
        <f ca="1">IF(H10="","有效",IF(H10-TODAY()&lt;0,"失效",IF(H10-TODAY()&gt;=20,"有效",IF(AND(H10-TODAY()&gt;0,H10-TODAY()&lt;20),"临期"))))</f>
        <v>有效</v>
      </c>
      <c r="M10" s="89" t="s">
        <v>98</v>
      </c>
      <c r="N10" s="89" t="s">
        <v>99</v>
      </c>
      <c r="O10" s="60" t="s">
        <v>65</v>
      </c>
    </row>
    <row r="11" ht="24" customHeight="1" spans="1:12">
      <c r="A11" s="81">
        <v>10</v>
      </c>
      <c r="B11" s="81" t="s">
        <v>100</v>
      </c>
      <c r="C11" s="82" t="s">
        <v>59</v>
      </c>
      <c r="D11" s="82" t="s">
        <v>90</v>
      </c>
      <c r="E11" s="82" t="s">
        <v>101</v>
      </c>
      <c r="G11" s="75">
        <v>45288</v>
      </c>
      <c r="H11" s="75"/>
      <c r="I11" s="45"/>
      <c r="J11" s="93" t="s">
        <v>102</v>
      </c>
      <c r="K11" s="51" t="s">
        <v>80</v>
      </c>
      <c r="L11" s="35" t="str">
        <f ca="1">IF(H11="","有效",IF(H11-TODAY()&lt;0,"失效",IF(H11-TODAY()&gt;=20,"有效",IF(AND(H11-TODAY()&gt;0,H11-TODAY()&lt;20),"临期"))))</f>
        <v>有效</v>
      </c>
    </row>
    <row r="12" ht="24" customHeight="1" spans="1:15">
      <c r="A12" s="81">
        <v>14</v>
      </c>
      <c r="B12" s="81" t="s">
        <v>103</v>
      </c>
      <c r="C12" s="82" t="s">
        <v>86</v>
      </c>
      <c r="D12" s="82" t="s">
        <v>104</v>
      </c>
      <c r="E12" s="82" t="s">
        <v>105</v>
      </c>
      <c r="G12" s="75">
        <v>42734</v>
      </c>
      <c r="H12" s="75"/>
      <c r="I12" s="45"/>
      <c r="L12" s="35" t="str">
        <f ca="1">IF(H12="","有效",IF(H12-TODAY()&lt;0,"失效",IF(H12-TODAY()&gt;=20,"有效",IF(AND(H12-TODAY()&gt;0,H12-TODAY()&lt;20),"临期"))))</f>
        <v>有效</v>
      </c>
      <c r="O12" s="51" t="s">
        <v>65</v>
      </c>
    </row>
    <row r="13" ht="24" customHeight="1" spans="1:15">
      <c r="A13" s="81">
        <v>15</v>
      </c>
      <c r="B13" s="81" t="s">
        <v>106</v>
      </c>
      <c r="C13" s="82" t="s">
        <v>86</v>
      </c>
      <c r="D13" s="82" t="s">
        <v>107</v>
      </c>
      <c r="E13" s="82" t="s">
        <v>108</v>
      </c>
      <c r="G13" s="75">
        <v>43099</v>
      </c>
      <c r="H13" s="75"/>
      <c r="I13" s="45"/>
      <c r="L13" s="35" t="str">
        <f ca="1">IF(H13="","有效",IF(H13-TODAY()&lt;0,"失效",IF(H13-TODAY()&gt;=20,"有效",IF(AND(H13-TODAY()&gt;0,H13-TODAY()&lt;20),"临期"))))</f>
        <v>有效</v>
      </c>
      <c r="O13" s="51" t="s">
        <v>65</v>
      </c>
    </row>
    <row r="14" ht="24" customHeight="1" spans="1:15">
      <c r="A14" s="81">
        <v>16</v>
      </c>
      <c r="B14" s="81" t="s">
        <v>109</v>
      </c>
      <c r="C14" s="82" t="s">
        <v>86</v>
      </c>
      <c r="D14" s="82" t="s">
        <v>110</v>
      </c>
      <c r="E14" s="82" t="s">
        <v>111</v>
      </c>
      <c r="G14" s="75">
        <v>43040</v>
      </c>
      <c r="H14" s="75"/>
      <c r="I14" s="45"/>
      <c r="L14" s="35" t="str">
        <f ca="1">IF(H14="","有效",IF(H14-TODAY()&lt;0,"失效",IF(H14-TODAY()&gt;=20,"有效",IF(AND(H14-TODAY()&gt;0,H14-TODAY()&lt;20),"临期"))))</f>
        <v>有效</v>
      </c>
      <c r="O14" s="51" t="s">
        <v>65</v>
      </c>
    </row>
    <row r="15" ht="24" customHeight="1" spans="1:15">
      <c r="A15" s="81">
        <v>17</v>
      </c>
      <c r="B15" s="81" t="s">
        <v>112</v>
      </c>
      <c r="C15" s="82" t="s">
        <v>86</v>
      </c>
      <c r="D15" s="82" t="s">
        <v>113</v>
      </c>
      <c r="E15" s="82" t="s">
        <v>114</v>
      </c>
      <c r="G15" s="75">
        <v>42989</v>
      </c>
      <c r="H15" s="75"/>
      <c r="I15" s="45"/>
      <c r="L15" s="35" t="str">
        <f ca="1">IF(H15="","有效",IF(H15-TODAY()&lt;0,"失效",IF(H15-TODAY()&gt;=20,"有效",IF(AND(H15-TODAY()&gt;0,H15-TODAY()&lt;20),"临期"))))</f>
        <v>有效</v>
      </c>
      <c r="O15" s="51" t="s">
        <v>65</v>
      </c>
    </row>
    <row r="16" ht="24" customHeight="1" spans="1:15">
      <c r="A16" s="81">
        <v>18</v>
      </c>
      <c r="B16" s="81" t="s">
        <v>115</v>
      </c>
      <c r="C16" s="82" t="s">
        <v>86</v>
      </c>
      <c r="D16" s="82" t="s">
        <v>116</v>
      </c>
      <c r="E16" s="82" t="s">
        <v>114</v>
      </c>
      <c r="F16" s="75">
        <v>43006</v>
      </c>
      <c r="G16" s="75" t="s">
        <v>117</v>
      </c>
      <c r="H16" s="75"/>
      <c r="I16" s="45"/>
      <c r="J16" s="51" t="s">
        <v>118</v>
      </c>
      <c r="L16" s="35" t="str">
        <f ca="1">IF(H16="","有效",IF(H16-TODAY()&lt;0,"失效",IF(H16-TODAY()&gt;=20,"有效",IF(AND(H16-TODAY()&gt;0,H16-TODAY()&lt;20),"临期"))))</f>
        <v>有效</v>
      </c>
      <c r="N16" s="77" t="s">
        <v>99</v>
      </c>
      <c r="O16" s="51" t="s">
        <v>65</v>
      </c>
    </row>
    <row r="17" ht="24" customHeight="1" spans="1:15">
      <c r="A17" s="81">
        <v>19</v>
      </c>
      <c r="B17" s="81" t="s">
        <v>119</v>
      </c>
      <c r="C17" s="82" t="s">
        <v>86</v>
      </c>
      <c r="D17" s="82" t="s">
        <v>116</v>
      </c>
      <c r="E17" s="82" t="s">
        <v>120</v>
      </c>
      <c r="F17" s="75" t="s">
        <v>121</v>
      </c>
      <c r="G17" s="75" t="s">
        <v>121</v>
      </c>
      <c r="H17" s="75"/>
      <c r="I17" s="45"/>
      <c r="K17" s="51" t="s">
        <v>122</v>
      </c>
      <c r="L17" s="35" t="str">
        <f ca="1">IF(H17="","有效",IF(H17-TODAY()&lt;0,"失效",IF(H17-TODAY()&gt;=20,"有效",IF(AND(H17-TODAY()&gt;0,H17-TODAY()&lt;20),"临期"))))</f>
        <v>有效</v>
      </c>
      <c r="N17" s="77" t="s">
        <v>99</v>
      </c>
      <c r="O17" s="51" t="s">
        <v>65</v>
      </c>
    </row>
    <row r="18" ht="24" customHeight="1" spans="1:15">
      <c r="A18" s="81">
        <v>20</v>
      </c>
      <c r="B18" s="81" t="s">
        <v>123</v>
      </c>
      <c r="C18" s="82" t="s">
        <v>86</v>
      </c>
      <c r="D18" s="82" t="s">
        <v>124</v>
      </c>
      <c r="E18" s="82" t="s">
        <v>125</v>
      </c>
      <c r="G18" s="75" t="s">
        <v>126</v>
      </c>
      <c r="H18" s="75"/>
      <c r="I18" s="45"/>
      <c r="K18" s="51" t="s">
        <v>127</v>
      </c>
      <c r="L18" s="35" t="str">
        <f ca="1">IF(H18="","有效",IF(H18-TODAY()&lt;0,"失效",IF(H18-TODAY()&gt;=20,"有效",IF(AND(H18-TODAY()&gt;0,H18-TODAY()&lt;20),"临期"))))</f>
        <v>有效</v>
      </c>
      <c r="O18" s="51" t="s">
        <v>65</v>
      </c>
    </row>
    <row r="19" ht="24" customHeight="1" spans="1:12">
      <c r="A19" s="81">
        <v>21</v>
      </c>
      <c r="B19" s="81" t="s">
        <v>128</v>
      </c>
      <c r="C19" s="82" t="s">
        <v>86</v>
      </c>
      <c r="D19" s="82" t="s">
        <v>60</v>
      </c>
      <c r="E19" s="82" t="s">
        <v>129</v>
      </c>
      <c r="G19" s="75" t="s">
        <v>126</v>
      </c>
      <c r="H19" s="75"/>
      <c r="I19" s="45"/>
      <c r="J19" s="94" t="s">
        <v>130</v>
      </c>
      <c r="K19" s="95" t="s">
        <v>131</v>
      </c>
      <c r="L19" s="35" t="str">
        <f ca="1">IF(H19="","有效",IF(H19-TODAY()&lt;0,"失效",IF(H19-TODAY()&gt;=20,"有效",IF(AND(H19-TODAY()&gt;0,H19-TODAY()&lt;20),"临期"))))</f>
        <v>有效</v>
      </c>
    </row>
    <row r="20" ht="37" customHeight="1" spans="1:15">
      <c r="A20" s="81">
        <v>22</v>
      </c>
      <c r="B20" s="81" t="s">
        <v>132</v>
      </c>
      <c r="C20" s="82" t="s">
        <v>86</v>
      </c>
      <c r="D20" s="82" t="s">
        <v>90</v>
      </c>
      <c r="E20" s="82" t="s">
        <v>133</v>
      </c>
      <c r="G20" s="75">
        <v>45206</v>
      </c>
      <c r="H20" s="75"/>
      <c r="I20" s="45"/>
      <c r="J20" s="51" t="s">
        <v>134</v>
      </c>
      <c r="K20" s="51" t="s">
        <v>135</v>
      </c>
      <c r="L20" s="35" t="str">
        <f ca="1">IF(H20="","有效",IF(H20-TODAY()&lt;0,"失效",IF(H20-TODAY()&gt;=20,"有效",IF(AND(H20-TODAY()&gt;0,H20-TODAY()&lt;20),"临期"))))</f>
        <v>有效</v>
      </c>
      <c r="N20" s="77" t="s">
        <v>99</v>
      </c>
      <c r="O20" s="51" t="s">
        <v>65</v>
      </c>
    </row>
    <row r="21" ht="24" customHeight="1" spans="1:15">
      <c r="A21" s="81">
        <v>23</v>
      </c>
      <c r="B21" s="81" t="s">
        <v>136</v>
      </c>
      <c r="C21" s="82" t="s">
        <v>86</v>
      </c>
      <c r="D21" s="82" t="s">
        <v>137</v>
      </c>
      <c r="E21" s="82" t="s">
        <v>138</v>
      </c>
      <c r="G21" s="75" t="s">
        <v>121</v>
      </c>
      <c r="H21" s="75"/>
      <c r="I21" s="45"/>
      <c r="K21" s="51" t="s">
        <v>139</v>
      </c>
      <c r="L21" s="35" t="str">
        <f ca="1">IF(H21="","有效",IF(H21-TODAY()&lt;0,"失效",IF(H21-TODAY()&gt;=20,"有效",IF(AND(H21-TODAY()&gt;0,H21-TODAY()&lt;20),"临期"))))</f>
        <v>有效</v>
      </c>
      <c r="N21" s="77" t="s">
        <v>99</v>
      </c>
      <c r="O21" s="51" t="s">
        <v>65</v>
      </c>
    </row>
    <row r="22" ht="24" customHeight="1" spans="1:15">
      <c r="A22" s="81">
        <v>24</v>
      </c>
      <c r="B22" s="81" t="s">
        <v>140</v>
      </c>
      <c r="C22" s="82" t="s">
        <v>86</v>
      </c>
      <c r="D22" s="82" t="s">
        <v>60</v>
      </c>
      <c r="E22" s="82" t="s">
        <v>141</v>
      </c>
      <c r="F22" s="123" t="s">
        <v>142</v>
      </c>
      <c r="G22" s="75">
        <v>45292</v>
      </c>
      <c r="H22" s="75">
        <f>G22+1095</f>
        <v>46387</v>
      </c>
      <c r="I22" s="45"/>
      <c r="J22" s="91" t="s">
        <v>143</v>
      </c>
      <c r="K22" s="51" t="s">
        <v>144</v>
      </c>
      <c r="L22" s="35" t="str">
        <f ca="1">IF(H22="","有效",IF(H22-TODAY()&lt;0,"失效",IF(H22-TODAY()&gt;=20,"有效",IF(AND(H22-TODAY()&gt;0,H22-TODAY()&lt;20),"临期"))))</f>
        <v>有效</v>
      </c>
      <c r="M22" s="77" t="s">
        <v>98</v>
      </c>
      <c r="N22" s="77" t="s">
        <v>99</v>
      </c>
      <c r="O22" s="51" t="s">
        <v>65</v>
      </c>
    </row>
    <row r="23" ht="24" customHeight="1" spans="1:12">
      <c r="A23" s="81">
        <v>25</v>
      </c>
      <c r="B23" s="81" t="s">
        <v>145</v>
      </c>
      <c r="C23" s="82" t="s">
        <v>86</v>
      </c>
      <c r="D23" s="82" t="s">
        <v>90</v>
      </c>
      <c r="E23" s="82" t="s">
        <v>146</v>
      </c>
      <c r="G23" s="75">
        <v>45378</v>
      </c>
      <c r="H23" s="75"/>
      <c r="I23" s="45"/>
      <c r="J23" s="51" t="s">
        <v>147</v>
      </c>
      <c r="K23" s="96"/>
      <c r="L23" s="35" t="str">
        <f ca="1">IF(H23="","有效",IF(H23-TODAY()&lt;0,"失效",IF(H23-TODAY()&gt;=20,"有效",IF(AND(H23-TODAY()&gt;0,H23-TODAY()&lt;20),"临期"))))</f>
        <v>有效</v>
      </c>
    </row>
    <row r="24" ht="24" spans="1:14">
      <c r="A24" s="45">
        <v>26</v>
      </c>
      <c r="B24" s="81" t="s">
        <v>148</v>
      </c>
      <c r="C24" s="82" t="s">
        <v>86</v>
      </c>
      <c r="D24" s="82" t="s">
        <v>90</v>
      </c>
      <c r="E24" s="81" t="s">
        <v>149</v>
      </c>
      <c r="F24" s="75">
        <v>45827</v>
      </c>
      <c r="G24" s="75">
        <v>45827</v>
      </c>
      <c r="H24" s="75">
        <f>G24+365</f>
        <v>46192</v>
      </c>
      <c r="I24" s="51" t="s">
        <v>150</v>
      </c>
      <c r="L24" s="35" t="str">
        <f ca="1">IF(H24="","有效",IF(H24-TODAY()&lt;0,"失效",IF(H24-TODAY()&gt;=20,"有效",IF(AND(H24-TODAY()&gt;0,H24-TODAY()&lt;20),"临期"))))</f>
        <v>临期</v>
      </c>
      <c r="N24" s="77" t="s">
        <v>33</v>
      </c>
    </row>
    <row r="25" ht="24" spans="1:15">
      <c r="A25" s="81">
        <v>28</v>
      </c>
      <c r="B25" s="49" t="s">
        <v>151</v>
      </c>
      <c r="C25" s="82" t="s">
        <v>86</v>
      </c>
      <c r="D25" s="82" t="s">
        <v>152</v>
      </c>
      <c r="E25" s="75" t="s">
        <v>153</v>
      </c>
      <c r="F25" s="75">
        <v>44682</v>
      </c>
      <c r="G25" s="75">
        <f>F25+1095</f>
        <v>45777</v>
      </c>
      <c r="K25" s="51" t="s">
        <v>154</v>
      </c>
      <c r="L25" s="35" t="str">
        <f ca="1" t="shared" ref="L25:L49" si="0">IF(H25="","有效",IF(H25-TODAY()&lt;0,"失效",IF(H25-TODAY()&gt;=20,"有效",IF(AND(H25-TODAY()&gt;0,H25-TODAY()&lt;20),"临期"))))</f>
        <v>有效</v>
      </c>
      <c r="M25" s="77" t="s">
        <v>155</v>
      </c>
      <c r="N25" s="77" t="s">
        <v>99</v>
      </c>
      <c r="O25" s="60" t="s">
        <v>65</v>
      </c>
    </row>
    <row r="26" ht="22" customHeight="1" spans="1:15">
      <c r="A26" s="81">
        <v>29</v>
      </c>
      <c r="B26" s="49" t="s">
        <v>156</v>
      </c>
      <c r="C26" s="82" t="s">
        <v>86</v>
      </c>
      <c r="D26" s="82" t="s">
        <v>152</v>
      </c>
      <c r="E26" s="75" t="s">
        <v>153</v>
      </c>
      <c r="F26" s="75">
        <v>44682</v>
      </c>
      <c r="G26" s="75">
        <f>F26+1095</f>
        <v>45777</v>
      </c>
      <c r="K26" s="51" t="s">
        <v>157</v>
      </c>
      <c r="L26" s="35" t="str">
        <f ca="1" t="shared" si="0"/>
        <v>有效</v>
      </c>
      <c r="M26" s="77" t="s">
        <v>155</v>
      </c>
      <c r="N26" s="77" t="s">
        <v>99</v>
      </c>
      <c r="O26" s="60" t="s">
        <v>65</v>
      </c>
    </row>
    <row r="27" ht="22" customHeight="1" spans="1:15">
      <c r="A27" s="81">
        <v>30</v>
      </c>
      <c r="B27" s="49" t="s">
        <v>158</v>
      </c>
      <c r="C27" s="82" t="s">
        <v>86</v>
      </c>
      <c r="D27" s="82" t="s">
        <v>90</v>
      </c>
      <c r="E27" s="75" t="s">
        <v>159</v>
      </c>
      <c r="F27" s="123" t="s">
        <v>160</v>
      </c>
      <c r="G27" s="75">
        <v>44501</v>
      </c>
      <c r="J27" s="51" t="s">
        <v>161</v>
      </c>
      <c r="K27" s="51" t="s">
        <v>162</v>
      </c>
      <c r="L27" s="35" t="str">
        <f ca="1" t="shared" si="0"/>
        <v>有效</v>
      </c>
      <c r="N27" s="77" t="s">
        <v>99</v>
      </c>
      <c r="O27" s="60" t="s">
        <v>65</v>
      </c>
    </row>
    <row r="28" ht="22" customHeight="1" spans="1:15">
      <c r="A28" s="81">
        <v>31</v>
      </c>
      <c r="B28" s="49" t="s">
        <v>163</v>
      </c>
      <c r="C28" s="82" t="s">
        <v>86</v>
      </c>
      <c r="D28" s="45" t="s">
        <v>164</v>
      </c>
      <c r="E28" s="75" t="s">
        <v>165</v>
      </c>
      <c r="F28" s="75">
        <v>44805</v>
      </c>
      <c r="I28" s="45" t="s">
        <v>166</v>
      </c>
      <c r="K28" s="51" t="s">
        <v>167</v>
      </c>
      <c r="L28" s="35" t="str">
        <f ca="1" t="shared" si="0"/>
        <v>有效</v>
      </c>
      <c r="O28" s="51" t="s">
        <v>65</v>
      </c>
    </row>
    <row r="29" ht="22" customHeight="1" spans="1:15">
      <c r="A29" s="81">
        <v>32</v>
      </c>
      <c r="B29" s="49" t="s">
        <v>168</v>
      </c>
      <c r="C29" s="82" t="s">
        <v>86</v>
      </c>
      <c r="D29" s="45" t="s">
        <v>169</v>
      </c>
      <c r="E29" s="75" t="s">
        <v>170</v>
      </c>
      <c r="F29" s="123" t="s">
        <v>171</v>
      </c>
      <c r="J29" s="97"/>
      <c r="K29" s="51" t="s">
        <v>122</v>
      </c>
      <c r="L29" s="35" t="str">
        <f ca="1" t="shared" si="0"/>
        <v>有效</v>
      </c>
      <c r="O29" s="51" t="s">
        <v>65</v>
      </c>
    </row>
    <row r="30" ht="25" customHeight="1" spans="1:15">
      <c r="A30" s="81">
        <v>33</v>
      </c>
      <c r="B30" s="49" t="s">
        <v>172</v>
      </c>
      <c r="C30" s="82" t="s">
        <v>86</v>
      </c>
      <c r="D30" s="45" t="s">
        <v>152</v>
      </c>
      <c r="E30" s="75" t="s">
        <v>173</v>
      </c>
      <c r="F30" s="75">
        <v>45117</v>
      </c>
      <c r="I30" s="45" t="s">
        <v>174</v>
      </c>
      <c r="K30" s="51" t="s">
        <v>175</v>
      </c>
      <c r="L30" s="35" t="str">
        <f ca="1" t="shared" si="0"/>
        <v>有效</v>
      </c>
      <c r="M30" s="77" t="s">
        <v>155</v>
      </c>
      <c r="N30" s="77" t="s">
        <v>99</v>
      </c>
      <c r="O30" s="51" t="s">
        <v>65</v>
      </c>
    </row>
    <row r="31" ht="26" customHeight="1" spans="1:15">
      <c r="A31" s="81">
        <v>34</v>
      </c>
      <c r="B31" s="49" t="s">
        <v>176</v>
      </c>
      <c r="C31" s="82" t="s">
        <v>86</v>
      </c>
      <c r="D31" s="75" t="s">
        <v>177</v>
      </c>
      <c r="E31" s="75" t="s">
        <v>178</v>
      </c>
      <c r="F31" s="75" t="s">
        <v>179</v>
      </c>
      <c r="K31" s="51" t="s">
        <v>127</v>
      </c>
      <c r="L31" s="35" t="str">
        <f ca="1" t="shared" si="0"/>
        <v>有效</v>
      </c>
      <c r="N31" s="77" t="s">
        <v>99</v>
      </c>
      <c r="O31" s="51" t="s">
        <v>65</v>
      </c>
    </row>
    <row r="32" ht="24" spans="1:15">
      <c r="A32" s="81">
        <v>35</v>
      </c>
      <c r="B32" s="49" t="s">
        <v>180</v>
      </c>
      <c r="C32" s="82" t="s">
        <v>86</v>
      </c>
      <c r="D32" s="75" t="s">
        <v>181</v>
      </c>
      <c r="E32" s="75" t="s">
        <v>180</v>
      </c>
      <c r="F32" s="75">
        <v>45135</v>
      </c>
      <c r="G32" s="75">
        <v>45135</v>
      </c>
      <c r="I32" s="51" t="s">
        <v>182</v>
      </c>
      <c r="K32" s="51" t="s">
        <v>122</v>
      </c>
      <c r="L32" s="35" t="str">
        <f ca="1" t="shared" si="0"/>
        <v>有效</v>
      </c>
      <c r="N32" s="77" t="s">
        <v>99</v>
      </c>
      <c r="O32" s="51" t="s">
        <v>65</v>
      </c>
    </row>
    <row r="33" ht="25" customHeight="1" spans="1:15">
      <c r="A33" s="81">
        <v>36</v>
      </c>
      <c r="B33" s="49" t="s">
        <v>183</v>
      </c>
      <c r="C33" s="82" t="s">
        <v>86</v>
      </c>
      <c r="D33" s="75" t="s">
        <v>184</v>
      </c>
      <c r="F33" s="75" t="s">
        <v>179</v>
      </c>
      <c r="G33" s="75"/>
      <c r="J33" s="51" t="s">
        <v>185</v>
      </c>
      <c r="K33" s="51" t="s">
        <v>127</v>
      </c>
      <c r="L33" s="35" t="str">
        <f ca="1" t="shared" si="0"/>
        <v>有效</v>
      </c>
      <c r="N33" s="77" t="s">
        <v>99</v>
      </c>
      <c r="O33" s="51" t="s">
        <v>65</v>
      </c>
    </row>
    <row r="34" ht="28" customHeight="1" spans="1:14">
      <c r="A34" s="81">
        <v>37</v>
      </c>
      <c r="B34" s="49" t="s">
        <v>186</v>
      </c>
      <c r="C34" s="82" t="s">
        <v>86</v>
      </c>
      <c r="D34" s="82" t="s">
        <v>152</v>
      </c>
      <c r="E34" s="45" t="s">
        <v>187</v>
      </c>
      <c r="F34" s="75">
        <v>45078</v>
      </c>
      <c r="G34" s="75">
        <f>F34+1095</f>
        <v>46173</v>
      </c>
      <c r="K34" s="49" t="s">
        <v>188</v>
      </c>
      <c r="L34" s="35" t="str">
        <f ca="1" t="shared" si="0"/>
        <v>有效</v>
      </c>
      <c r="M34" s="77" t="s">
        <v>155</v>
      </c>
      <c r="N34" s="77" t="s">
        <v>33</v>
      </c>
    </row>
    <row r="35" ht="28" customHeight="1" spans="1:14">
      <c r="A35" s="81">
        <v>38</v>
      </c>
      <c r="B35" s="49" t="s">
        <v>189</v>
      </c>
      <c r="C35" s="82" t="s">
        <v>86</v>
      </c>
      <c r="D35" s="82" t="s">
        <v>152</v>
      </c>
      <c r="E35" s="45" t="s">
        <v>190</v>
      </c>
      <c r="F35" s="75">
        <v>45407</v>
      </c>
      <c r="G35" s="75"/>
      <c r="I35" s="45" t="s">
        <v>191</v>
      </c>
      <c r="K35" s="49" t="s">
        <v>192</v>
      </c>
      <c r="L35" s="35" t="str">
        <f ca="1" t="shared" si="0"/>
        <v>有效</v>
      </c>
      <c r="N35" s="77" t="s">
        <v>33</v>
      </c>
    </row>
    <row r="36" ht="28" customHeight="1" spans="1:12">
      <c r="A36" s="81">
        <v>39</v>
      </c>
      <c r="B36" s="49" t="s">
        <v>193</v>
      </c>
      <c r="C36" s="82" t="s">
        <v>86</v>
      </c>
      <c r="D36" s="82" t="s">
        <v>194</v>
      </c>
      <c r="E36" s="45" t="s">
        <v>195</v>
      </c>
      <c r="F36" s="75">
        <v>45561</v>
      </c>
      <c r="G36" s="75"/>
      <c r="J36" s="51" t="s">
        <v>196</v>
      </c>
      <c r="K36" s="51" t="s">
        <v>197</v>
      </c>
      <c r="L36" s="35" t="str">
        <f ca="1" t="shared" si="0"/>
        <v>有效</v>
      </c>
    </row>
    <row r="37" ht="29" customHeight="1" spans="1:15">
      <c r="A37" s="81">
        <v>40</v>
      </c>
      <c r="B37" s="49" t="s">
        <v>198</v>
      </c>
      <c r="C37" s="82" t="s">
        <v>86</v>
      </c>
      <c r="D37" s="75" t="s">
        <v>60</v>
      </c>
      <c r="E37" s="75" t="s">
        <v>72</v>
      </c>
      <c r="F37" s="75">
        <v>45401</v>
      </c>
      <c r="G37" s="51" t="s">
        <v>199</v>
      </c>
      <c r="H37" s="85">
        <v>46632</v>
      </c>
      <c r="J37" s="94" t="s">
        <v>200</v>
      </c>
      <c r="K37" s="51" t="s">
        <v>197</v>
      </c>
      <c r="L37" s="35" t="str">
        <f ca="1" t="shared" si="0"/>
        <v>有效</v>
      </c>
      <c r="O37" s="51" t="s">
        <v>65</v>
      </c>
    </row>
    <row r="38" ht="36.75" spans="1:12">
      <c r="A38" s="81">
        <v>41</v>
      </c>
      <c r="B38" s="49" t="s">
        <v>201</v>
      </c>
      <c r="C38" s="82" t="s">
        <v>86</v>
      </c>
      <c r="D38" s="75" t="s">
        <v>67</v>
      </c>
      <c r="E38" s="75" t="s">
        <v>202</v>
      </c>
      <c r="F38" s="75">
        <v>45665</v>
      </c>
      <c r="G38" s="86"/>
      <c r="J38" s="94" t="s">
        <v>203</v>
      </c>
      <c r="L38" s="35" t="str">
        <f ca="1" t="shared" si="0"/>
        <v>有效</v>
      </c>
    </row>
    <row r="39" ht="12.75" spans="1:12">
      <c r="A39" s="81">
        <v>42</v>
      </c>
      <c r="B39" s="49" t="s">
        <v>204</v>
      </c>
      <c r="C39" s="82" t="s">
        <v>86</v>
      </c>
      <c r="D39" s="75" t="s">
        <v>90</v>
      </c>
      <c r="E39" s="75" t="s">
        <v>205</v>
      </c>
      <c r="F39" s="75">
        <v>45748</v>
      </c>
      <c r="G39" s="86"/>
      <c r="J39" s="94" t="s">
        <v>206</v>
      </c>
      <c r="K39" s="51" t="s">
        <v>197</v>
      </c>
      <c r="L39" s="35" t="str">
        <f ca="1" t="shared" si="0"/>
        <v>有效</v>
      </c>
    </row>
    <row r="40" ht="24.25" spans="1:12">
      <c r="A40" s="81">
        <v>43</v>
      </c>
      <c r="B40" s="49" t="s">
        <v>207</v>
      </c>
      <c r="C40" s="82" t="s">
        <v>86</v>
      </c>
      <c r="D40" s="75" t="s">
        <v>60</v>
      </c>
      <c r="E40" s="75" t="s">
        <v>208</v>
      </c>
      <c r="F40" s="75">
        <v>45741</v>
      </c>
      <c r="G40" s="86" t="s">
        <v>209</v>
      </c>
      <c r="H40" s="85">
        <v>46837</v>
      </c>
      <c r="J40" s="94" t="s">
        <v>210</v>
      </c>
      <c r="K40" s="51" t="s">
        <v>197</v>
      </c>
      <c r="L40" s="35" t="str">
        <f ca="1" t="shared" si="0"/>
        <v>有效</v>
      </c>
    </row>
    <row r="41" ht="24.75" spans="1:12">
      <c r="A41" s="81">
        <v>44</v>
      </c>
      <c r="B41" s="49" t="s">
        <v>211</v>
      </c>
      <c r="C41" s="82" t="s">
        <v>86</v>
      </c>
      <c r="E41" s="75" t="s">
        <v>212</v>
      </c>
      <c r="G41" s="86"/>
      <c r="J41" s="94"/>
      <c r="L41" s="35" t="str">
        <f ca="1" t="shared" si="0"/>
        <v>有效</v>
      </c>
    </row>
    <row r="42" ht="36.75" spans="1:12">
      <c r="A42" s="81">
        <v>45</v>
      </c>
      <c r="B42" s="49" t="s">
        <v>213</v>
      </c>
      <c r="C42" s="82" t="s">
        <v>86</v>
      </c>
      <c r="D42" s="75" t="s">
        <v>67</v>
      </c>
      <c r="E42" s="75" t="s">
        <v>202</v>
      </c>
      <c r="G42" s="86"/>
      <c r="J42" s="94"/>
      <c r="L42" s="35" t="str">
        <f ca="1" t="shared" si="0"/>
        <v>有效</v>
      </c>
    </row>
    <row r="43" ht="48.75" spans="1:12">
      <c r="A43" s="81">
        <v>46</v>
      </c>
      <c r="B43" s="49" t="s">
        <v>214</v>
      </c>
      <c r="C43" s="82" t="s">
        <v>86</v>
      </c>
      <c r="D43" s="75" t="s">
        <v>60</v>
      </c>
      <c r="E43" s="75" t="s">
        <v>215</v>
      </c>
      <c r="F43" s="75">
        <v>45627</v>
      </c>
      <c r="G43" s="86"/>
      <c r="I43" s="51" t="s">
        <v>216</v>
      </c>
      <c r="J43" s="94"/>
      <c r="L43" s="35" t="str">
        <f ca="1" t="shared" si="0"/>
        <v>有效</v>
      </c>
    </row>
    <row r="44" ht="12.75" spans="1:12">
      <c r="A44" s="81">
        <v>47</v>
      </c>
      <c r="B44" s="49" t="s">
        <v>217</v>
      </c>
      <c r="C44" s="82" t="s">
        <v>86</v>
      </c>
      <c r="F44" s="75">
        <v>45614</v>
      </c>
      <c r="G44" s="86"/>
      <c r="J44" s="94"/>
      <c r="L44" s="35" t="str">
        <f ca="1" t="shared" si="0"/>
        <v>有效</v>
      </c>
    </row>
    <row r="45" ht="24.75" spans="1:12">
      <c r="A45" s="81">
        <v>48</v>
      </c>
      <c r="B45" s="49" t="s">
        <v>218</v>
      </c>
      <c r="C45" s="82" t="s">
        <v>86</v>
      </c>
      <c r="D45" s="75" t="s">
        <v>124</v>
      </c>
      <c r="F45" s="75" t="s">
        <v>219</v>
      </c>
      <c r="G45" s="86"/>
      <c r="J45" s="94"/>
      <c r="L45" s="35" t="str">
        <f ca="1" t="shared" si="0"/>
        <v>有效</v>
      </c>
    </row>
    <row r="46" ht="24.75" spans="1:12">
      <c r="A46" s="81">
        <v>49</v>
      </c>
      <c r="B46" s="49" t="s">
        <v>220</v>
      </c>
      <c r="C46" s="82" t="s">
        <v>86</v>
      </c>
      <c r="D46" s="75" t="s">
        <v>221</v>
      </c>
      <c r="E46" s="75" t="s">
        <v>222</v>
      </c>
      <c r="F46" s="75" t="s">
        <v>223</v>
      </c>
      <c r="G46" s="87"/>
      <c r="J46" s="94"/>
      <c r="L46" s="35" t="str">
        <f ca="1" t="shared" si="0"/>
        <v>有效</v>
      </c>
    </row>
    <row r="47" ht="24.75" spans="1:12">
      <c r="A47" s="81">
        <v>50</v>
      </c>
      <c r="B47" s="49" t="s">
        <v>224</v>
      </c>
      <c r="C47" s="82" t="s">
        <v>86</v>
      </c>
      <c r="D47" s="75" t="s">
        <v>60</v>
      </c>
      <c r="E47" s="75" t="s">
        <v>61</v>
      </c>
      <c r="F47" s="75" t="s">
        <v>179</v>
      </c>
      <c r="G47" s="86"/>
      <c r="J47" s="94"/>
      <c r="L47" s="35" t="str">
        <f ca="1" t="shared" si="0"/>
        <v>有效</v>
      </c>
    </row>
    <row r="48" ht="36" spans="1:15">
      <c r="A48" s="45">
        <v>51</v>
      </c>
      <c r="B48" s="49" t="s">
        <v>225</v>
      </c>
      <c r="C48" s="82" t="s">
        <v>86</v>
      </c>
      <c r="E48" s="75" t="s">
        <v>226</v>
      </c>
      <c r="F48" s="75">
        <v>45990</v>
      </c>
      <c r="K48" s="51" t="s">
        <v>227</v>
      </c>
      <c r="L48" s="35" t="str">
        <f ca="1" t="shared" si="0"/>
        <v>有效</v>
      </c>
      <c r="M48" s="77" t="s">
        <v>228</v>
      </c>
      <c r="N48" s="77" t="s">
        <v>229</v>
      </c>
      <c r="O48" s="51" t="s">
        <v>65</v>
      </c>
    </row>
    <row r="49" ht="70" spans="1:12">
      <c r="A49" s="88" t="s">
        <v>230</v>
      </c>
      <c r="B49" s="49" t="s">
        <v>231</v>
      </c>
      <c r="C49" s="82" t="s">
        <v>86</v>
      </c>
      <c r="D49" s="75" t="s">
        <v>232</v>
      </c>
      <c r="E49" s="75" t="s">
        <v>233</v>
      </c>
      <c r="F49" s="75">
        <v>46003</v>
      </c>
      <c r="J49" s="98" t="s">
        <v>234</v>
      </c>
      <c r="L49" s="35" t="str">
        <f ca="1" t="shared" si="0"/>
        <v>有效</v>
      </c>
    </row>
    <row r="50" ht="24" spans="1:14">
      <c r="A50" s="45">
        <v>53</v>
      </c>
      <c r="B50" s="49" t="s">
        <v>235</v>
      </c>
      <c r="C50" s="45" t="s">
        <v>86</v>
      </c>
      <c r="D50" s="75" t="s">
        <v>221</v>
      </c>
      <c r="E50" s="75" t="s">
        <v>222</v>
      </c>
      <c r="F50" s="75" t="s">
        <v>236</v>
      </c>
      <c r="L50" s="76" t="s">
        <v>237</v>
      </c>
      <c r="N50" s="77" t="s">
        <v>238</v>
      </c>
    </row>
  </sheetData>
  <autoFilter ref="A1:O50">
    <extLst/>
  </autoFilter>
  <conditionalFormatting sqref="A24:E24">
    <cfRule type="expression" dxfId="1" priority="306">
      <formula>$L48="临期"</formula>
    </cfRule>
    <cfRule type="expression" dxfId="2" priority="307">
      <formula>$L48="失效"</formula>
    </cfRule>
  </conditionalFormatting>
  <conditionalFormatting sqref="F24:N24">
    <cfRule type="expression" dxfId="1" priority="30">
      <formula>$L24="临期"</formula>
    </cfRule>
    <cfRule type="expression" dxfId="2" priority="31">
      <formula>$L24="失效"</formula>
    </cfRule>
  </conditionalFormatting>
  <conditionalFormatting sqref="J28:N28">
    <cfRule type="expression" dxfId="1" priority="268">
      <formula>$L28="临期"</formula>
    </cfRule>
    <cfRule type="expression" dxfId="2" priority="269">
      <formula>$L28="失效"</formula>
    </cfRule>
  </conditionalFormatting>
  <conditionalFormatting sqref="D29:L29">
    <cfRule type="expression" dxfId="1" priority="259">
      <formula>$L29="临期"</formula>
    </cfRule>
  </conditionalFormatting>
  <conditionalFormatting sqref="D29:N29">
    <cfRule type="expression" dxfId="2" priority="260">
      <formula>$L29="失效"</formula>
    </cfRule>
  </conditionalFormatting>
  <conditionalFormatting sqref="L29">
    <cfRule type="expression" dxfId="0" priority="261">
      <formula>$I29="失效"</formula>
    </cfRule>
  </conditionalFormatting>
  <conditionalFormatting sqref="J30:L30">
    <cfRule type="expression" dxfId="1" priority="244">
      <formula>$L30="临期"</formula>
    </cfRule>
  </conditionalFormatting>
  <conditionalFormatting sqref="J30:N30">
    <cfRule type="expression" dxfId="2" priority="245">
      <formula>$L30="失效"</formula>
    </cfRule>
  </conditionalFormatting>
  <conditionalFormatting sqref="M31">
    <cfRule type="expression" dxfId="2" priority="1">
      <formula>$L31="失效"</formula>
    </cfRule>
  </conditionalFormatting>
  <conditionalFormatting sqref="L32">
    <cfRule type="expression" dxfId="0" priority="230">
      <formula>$I32="失效"</formula>
    </cfRule>
  </conditionalFormatting>
  <conditionalFormatting sqref="B33:L33">
    <cfRule type="expression" dxfId="1" priority="184">
      <formula>$L33="临期"</formula>
    </cfRule>
    <cfRule type="expression" dxfId="2" priority="185">
      <formula>$L33="失效"</formula>
    </cfRule>
  </conditionalFormatting>
  <conditionalFormatting sqref="M33:N33">
    <cfRule type="expression" dxfId="2" priority="212">
      <formula>$L33="失效"</formula>
    </cfRule>
  </conditionalFormatting>
  <conditionalFormatting sqref="I34:N34">
    <cfRule type="expression" dxfId="1" priority="149">
      <formula>$L34="临期"</formula>
    </cfRule>
    <cfRule type="expression" dxfId="2" priority="150">
      <formula>$L34="失效"</formula>
    </cfRule>
  </conditionalFormatting>
  <conditionalFormatting sqref="I36:K36">
    <cfRule type="expression" dxfId="1" priority="140">
      <formula>$L36="临期"</formula>
    </cfRule>
    <cfRule type="expression" dxfId="2" priority="141">
      <formula>$L36="失效"</formula>
    </cfRule>
  </conditionalFormatting>
  <conditionalFormatting sqref="E37:N37">
    <cfRule type="expression" dxfId="1" priority="5">
      <formula>$L37="临期"</formula>
    </cfRule>
    <cfRule type="expression" dxfId="2" priority="6">
      <formula>$L37="失效"</formula>
    </cfRule>
  </conditionalFormatting>
  <conditionalFormatting sqref="D49:N49">
    <cfRule type="expression" dxfId="1" priority="20">
      <formula>$L49="临期"</formula>
    </cfRule>
    <cfRule type="expression" dxfId="2" priority="21">
      <formula>$L49="失效"</formula>
    </cfRule>
  </conditionalFormatting>
  <conditionalFormatting sqref="A28:A47">
    <cfRule type="expression" dxfId="1" priority="39">
      <formula>$L28="临期"</formula>
    </cfRule>
    <cfRule type="expression" dxfId="2" priority="40">
      <formula>$L28="失效"</formula>
    </cfRule>
  </conditionalFormatting>
  <conditionalFormatting sqref="C48:C49">
    <cfRule type="expression" dxfId="1" priority="23">
      <formula>$L48="临期"</formula>
    </cfRule>
    <cfRule type="expression" dxfId="2" priority="24">
      <formula>$L48="失效"</formula>
    </cfRule>
  </conditionalFormatting>
  <conditionalFormatting sqref="G34:G36">
    <cfRule type="expression" dxfId="1" priority="176">
      <formula>$L34="临期"</formula>
    </cfRule>
    <cfRule type="expression" dxfId="2" priority="178">
      <formula>$L34="失效"</formula>
    </cfRule>
  </conditionalFormatting>
  <conditionalFormatting sqref="L1:L3">
    <cfRule type="expression" dxfId="0" priority="304">
      <formula>$I1="失效"</formula>
    </cfRule>
  </conditionalFormatting>
  <conditionalFormatting sqref="L4:L11">
    <cfRule type="expression" dxfId="0" priority="10">
      <formula>$I4="失效"</formula>
    </cfRule>
  </conditionalFormatting>
  <conditionalFormatting sqref="L12:L24">
    <cfRule type="expression" dxfId="0" priority="32">
      <formula>$I12="失效"</formula>
    </cfRule>
  </conditionalFormatting>
  <conditionalFormatting sqref="L25:L28">
    <cfRule type="expression" dxfId="0" priority="270">
      <formula>$I25="失效"</formula>
    </cfRule>
  </conditionalFormatting>
  <conditionalFormatting sqref="L30:L31">
    <cfRule type="expression" dxfId="0" priority="246">
      <formula>$I30="失效"</formula>
    </cfRule>
  </conditionalFormatting>
  <conditionalFormatting sqref="L33:L34">
    <cfRule type="expression" dxfId="0" priority="194">
      <formula>$I33="失效"</formula>
    </cfRule>
  </conditionalFormatting>
  <conditionalFormatting sqref="L35:L36">
    <cfRule type="expression" dxfId="0" priority="27">
      <formula>$I35="失效"</formula>
    </cfRule>
  </conditionalFormatting>
  <conditionalFormatting sqref="L37:L38">
    <cfRule type="expression" dxfId="0" priority="7">
      <formula>$I37="失效"</formula>
    </cfRule>
  </conditionalFormatting>
  <conditionalFormatting sqref="L39:L40">
    <cfRule type="expression" dxfId="0" priority="4">
      <formula>$I39="失效"</formula>
    </cfRule>
  </conditionalFormatting>
  <conditionalFormatting sqref="L41:L49">
    <cfRule type="expression" dxfId="0" priority="22">
      <formula>$I41="失效"</formula>
    </cfRule>
  </conditionalFormatting>
  <conditionalFormatting sqref="A1:N1 A2:J2 L2:N2 E28 G28:H28 E30 G30:H30 F48:K48 A49:B49 A50:N1048576">
    <cfRule type="expression" dxfId="1" priority="300">
      <formula>$L1="临期"</formula>
    </cfRule>
    <cfRule type="expression" dxfId="2" priority="301">
      <formula>$L1="失效"</formula>
    </cfRule>
  </conditionalFormatting>
  <conditionalFormatting sqref="A3:N23">
    <cfRule type="expression" dxfId="1" priority="8">
      <formula>$L3="临期"</formula>
    </cfRule>
    <cfRule type="expression" dxfId="2" priority="9">
      <formula>$L3="失效"</formula>
    </cfRule>
  </conditionalFormatting>
  <conditionalFormatting sqref="A25:N27">
    <cfRule type="expression" dxfId="1" priority="202">
      <formula>$L25="临期"</formula>
    </cfRule>
    <cfRule type="expression" dxfId="2" priority="203">
      <formula>$L25="失效"</formula>
    </cfRule>
  </conditionalFormatting>
  <conditionalFormatting sqref="B28:C32">
    <cfRule type="expression" dxfId="1" priority="235">
      <formula>$L28="临期"</formula>
    </cfRule>
    <cfRule type="expression" dxfId="2" priority="236">
      <formula>$L28="失效"</formula>
    </cfRule>
  </conditionalFormatting>
  <conditionalFormatting sqref="M29:N33">
    <cfRule type="expression" dxfId="1" priority="211">
      <formula>$L29="临期"</formula>
    </cfRule>
  </conditionalFormatting>
  <conditionalFormatting sqref="D31:L32">
    <cfRule type="expression" dxfId="1" priority="228">
      <formula>$L31="临期"</formula>
    </cfRule>
  </conditionalFormatting>
  <conditionalFormatting sqref="D31:N32">
    <cfRule type="expression" dxfId="2" priority="229">
      <formula>$L31="失效"</formula>
    </cfRule>
  </conditionalFormatting>
  <conditionalFormatting sqref="C34:D36">
    <cfRule type="expression" dxfId="1" priority="145">
      <formula>$L34="临期"</formula>
    </cfRule>
    <cfRule type="expression" dxfId="2" priority="146">
      <formula>$L34="失效"</formula>
    </cfRule>
  </conditionalFormatting>
  <conditionalFormatting sqref="L35:N36">
    <cfRule type="expression" dxfId="1" priority="25">
      <formula>$L35="临期"</formula>
    </cfRule>
    <cfRule type="expression" dxfId="2" priority="26">
      <formula>$L35="失效"</formula>
    </cfRule>
  </conditionalFormatting>
  <conditionalFormatting sqref="B37:C47">
    <cfRule type="expression" dxfId="1" priority="37">
      <formula>$L37="临期"</formula>
    </cfRule>
    <cfRule type="expression" dxfId="2" priority="38">
      <formula>$L37="失效"</formula>
    </cfRule>
  </conditionalFormatting>
  <conditionalFormatting sqref="D38:K47">
    <cfRule type="expression" dxfId="1" priority="33">
      <formula>$L38="临期"</formula>
    </cfRule>
    <cfRule type="expression" dxfId="2" priority="34">
      <formula>$L38="失效"</formula>
    </cfRule>
  </conditionalFormatting>
  <conditionalFormatting sqref="L38:N48">
    <cfRule type="expression" dxfId="1" priority="2">
      <formula>$L38="临期"</formula>
    </cfRule>
    <cfRule type="expression" dxfId="2" priority="3">
      <formula>$L38="失效"</formula>
    </cfRule>
  </conditionalFormatting>
  <hyperlinks>
    <hyperlink ref="A1" location="目录!A1" display="序号"/>
    <hyperlink ref="J19" r:id="rId1" display="https://www.5gaia.org.cn/Five/News/Detail/619  （项目编号：54857）" tooltip="https://www.5gaia.org.cn/Five/News/Detail/619  （项目编号：54857）"/>
    <hyperlink ref="J22" r:id="rId2" display="https://www.elecfans.com/d/2331704.html"/>
    <hyperlink ref="J38" r:id="rId3" display="https://qccdata.qichacha.com/TechnologyCompany/1a775059080bc368b67e29e2b7eb7871.pdf" tooltip="https://qccdata.qichacha.com/TechnologyCompany/1a775059080bc368b67e29e2b7eb7871.pdf"/>
    <hyperlink ref="J6" r:id="rId4" display="http://gdii.gd.gov.cn/zwgk/tzgg1011/content/post_4301846.html"/>
    <hyperlink ref="J49" r:id="rId5" display="https://www.gdcie.org.cn/News_View.aspx?classId=169&amp;pclassId=168&amp;kindId=6&amp;id=20318" tooltip="https://www.gdcie.org.cn/News_View.aspx?classId=169&amp;pclassId=168&amp;kindId=6&amp;id=20318"/>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10"/>
  <sheetViews>
    <sheetView workbookViewId="0">
      <pane ySplit="1" topLeftCell="A2" activePane="bottomLeft" state="frozen"/>
      <selection/>
      <selection pane="bottomLeft" activeCell="B17" sqref="B17"/>
    </sheetView>
  </sheetViews>
  <sheetFormatPr defaultColWidth="9" defaultRowHeight="24" customHeight="1"/>
  <cols>
    <col min="1" max="1" width="6.09090909090909" style="61" customWidth="1"/>
    <col min="2" max="2" width="53.6363636363636" style="61" customWidth="1"/>
    <col min="3" max="4" width="26" style="61" customWidth="1"/>
    <col min="5" max="5" width="20.3636363636364" style="61" customWidth="1"/>
    <col min="6" max="6" width="18.9090909090909" style="61" customWidth="1"/>
    <col min="7" max="7" width="11.0909090909091" style="62" customWidth="1"/>
    <col min="8" max="8" width="4.63636363636364" style="58" customWidth="1"/>
    <col min="9" max="9" width="11.0909090909091" style="62" customWidth="1"/>
    <col min="10" max="10" width="9" style="61"/>
    <col min="11" max="11" width="9" style="58"/>
    <col min="12" max="16384" width="9" style="61"/>
  </cols>
  <sheetData>
    <row r="1" customHeight="1" spans="1:11">
      <c r="A1" s="63" t="s">
        <v>1</v>
      </c>
      <c r="B1" s="64" t="s">
        <v>239</v>
      </c>
      <c r="C1" s="64" t="s">
        <v>240</v>
      </c>
      <c r="D1" s="64" t="s">
        <v>241</v>
      </c>
      <c r="E1" s="64" t="s">
        <v>242</v>
      </c>
      <c r="F1" s="64" t="s">
        <v>24</v>
      </c>
      <c r="G1" s="65" t="s">
        <v>25</v>
      </c>
      <c r="H1" s="65"/>
      <c r="I1" s="65"/>
      <c r="J1" s="64" t="s">
        <v>26</v>
      </c>
      <c r="K1" s="55" t="s">
        <v>27</v>
      </c>
    </row>
    <row r="2" customHeight="1" spans="1:11">
      <c r="A2" s="66">
        <v>1</v>
      </c>
      <c r="B2" s="67" t="s">
        <v>243</v>
      </c>
      <c r="C2" s="58" t="s">
        <v>244</v>
      </c>
      <c r="D2" s="58" t="s">
        <v>245</v>
      </c>
      <c r="E2" s="68" t="s">
        <v>246</v>
      </c>
      <c r="F2" s="66" t="s">
        <v>247</v>
      </c>
      <c r="G2" s="62">
        <v>45677</v>
      </c>
      <c r="H2" s="58" t="s">
        <v>32</v>
      </c>
      <c r="I2" s="62">
        <v>46771</v>
      </c>
      <c r="J2" s="73" t="s">
        <v>248</v>
      </c>
      <c r="K2" s="58" t="str">
        <f ca="1" t="shared" ref="K2:K7" si="0">IF(I2="","有效",IF(I2-TODAY()&lt;0,"失效",IF(I2-TODAY()&gt;=20,"有效",IF(AND(I2-TODAY()&gt;0,I2-TODAY()&lt;20),"临期"))))</f>
        <v>有效</v>
      </c>
    </row>
    <row r="3" customHeight="1" spans="1:11">
      <c r="A3" s="66">
        <v>2</v>
      </c>
      <c r="B3" s="67" t="s">
        <v>249</v>
      </c>
      <c r="C3" s="58" t="s">
        <v>250</v>
      </c>
      <c r="D3" s="58" t="s">
        <v>245</v>
      </c>
      <c r="E3" s="68" t="s">
        <v>246</v>
      </c>
      <c r="F3" s="66" t="s">
        <v>251</v>
      </c>
      <c r="G3" s="62">
        <v>45862</v>
      </c>
      <c r="H3" s="58" t="s">
        <v>32</v>
      </c>
      <c r="I3" s="62">
        <v>46957</v>
      </c>
      <c r="J3" s="73" t="s">
        <v>248</v>
      </c>
      <c r="K3" s="58" t="str">
        <f ca="1" t="shared" si="0"/>
        <v>有效</v>
      </c>
    </row>
    <row r="4" customHeight="1" spans="1:11">
      <c r="A4" s="66">
        <v>3</v>
      </c>
      <c r="B4" s="67" t="s">
        <v>252</v>
      </c>
      <c r="C4" s="58" t="s">
        <v>253</v>
      </c>
      <c r="D4" s="58" t="s">
        <v>254</v>
      </c>
      <c r="E4" s="68" t="s">
        <v>246</v>
      </c>
      <c r="F4" s="66" t="s">
        <v>255</v>
      </c>
      <c r="G4" s="62">
        <v>45862</v>
      </c>
      <c r="H4" s="58" t="s">
        <v>32</v>
      </c>
      <c r="I4" s="62">
        <v>46957</v>
      </c>
      <c r="J4" s="73" t="s">
        <v>248</v>
      </c>
      <c r="K4" s="58" t="str">
        <f ca="1" t="shared" si="0"/>
        <v>有效</v>
      </c>
    </row>
    <row r="5" customHeight="1" spans="1:11">
      <c r="A5" s="66">
        <v>4</v>
      </c>
      <c r="B5" s="69" t="s">
        <v>256</v>
      </c>
      <c r="C5" s="58" t="s">
        <v>257</v>
      </c>
      <c r="D5" s="58" t="s">
        <v>258</v>
      </c>
      <c r="E5" s="68" t="s">
        <v>246</v>
      </c>
      <c r="F5" s="66" t="s">
        <v>259</v>
      </c>
      <c r="G5" s="62">
        <v>45862</v>
      </c>
      <c r="H5" s="58" t="s">
        <v>32</v>
      </c>
      <c r="I5" s="62">
        <v>46957</v>
      </c>
      <c r="J5" s="73" t="s">
        <v>248</v>
      </c>
      <c r="K5" s="58" t="str">
        <f ca="1" t="shared" si="0"/>
        <v>有效</v>
      </c>
    </row>
    <row r="6" customHeight="1" spans="1:11">
      <c r="A6" s="66">
        <v>5</v>
      </c>
      <c r="B6" s="67" t="s">
        <v>260</v>
      </c>
      <c r="C6" s="58" t="s">
        <v>261</v>
      </c>
      <c r="D6" s="58" t="s">
        <v>262</v>
      </c>
      <c r="E6" s="68" t="s">
        <v>246</v>
      </c>
      <c r="F6" s="66" t="s">
        <v>263</v>
      </c>
      <c r="G6" s="62">
        <v>45862</v>
      </c>
      <c r="H6" s="58" t="s">
        <v>32</v>
      </c>
      <c r="I6" s="62">
        <v>46957</v>
      </c>
      <c r="J6" s="73" t="s">
        <v>248</v>
      </c>
      <c r="K6" s="58" t="str">
        <f ca="1" t="shared" si="0"/>
        <v>有效</v>
      </c>
    </row>
    <row r="7" customHeight="1" spans="1:11">
      <c r="A7" s="66">
        <v>6</v>
      </c>
      <c r="B7" s="67" t="s">
        <v>264</v>
      </c>
      <c r="C7" s="58" t="s">
        <v>265</v>
      </c>
      <c r="D7" s="58" t="s">
        <v>266</v>
      </c>
      <c r="E7" s="68" t="s">
        <v>246</v>
      </c>
      <c r="F7" s="66" t="s">
        <v>267</v>
      </c>
      <c r="G7" s="62">
        <v>45862</v>
      </c>
      <c r="H7" s="58" t="s">
        <v>32</v>
      </c>
      <c r="I7" s="62">
        <v>46957</v>
      </c>
      <c r="J7" s="73" t="s">
        <v>248</v>
      </c>
      <c r="K7" s="58" t="str">
        <f ca="1" t="shared" si="0"/>
        <v>有效</v>
      </c>
    </row>
    <row r="8" s="73" customFormat="1" customHeight="1" spans="1:11">
      <c r="A8" s="70">
        <v>7</v>
      </c>
      <c r="B8" s="69" t="s">
        <v>268</v>
      </c>
      <c r="C8" s="70" t="s">
        <v>269</v>
      </c>
      <c r="D8" s="58" t="s">
        <v>270</v>
      </c>
      <c r="E8" s="68" t="s">
        <v>271</v>
      </c>
      <c r="F8" s="70" t="s">
        <v>272</v>
      </c>
      <c r="G8" s="71">
        <v>45853</v>
      </c>
      <c r="H8" s="72" t="s">
        <v>32</v>
      </c>
      <c r="I8" s="74">
        <v>46948</v>
      </c>
      <c r="J8" s="73" t="s">
        <v>248</v>
      </c>
      <c r="K8" s="72" t="str">
        <f ca="1" t="shared" ref="K2:K10" si="1">IF(I8="","有效",IF(I8-TODAY()&lt;0,"失效",IF(I8-TODAY()&gt;=20,"有效",IF(AND(I8-TODAY()&gt;0,I8-TODAY()&lt;20),"临期"))))</f>
        <v>有效</v>
      </c>
    </row>
    <row r="9" s="73" customFormat="1" customHeight="1" spans="1:11">
      <c r="A9" s="70">
        <v>8</v>
      </c>
      <c r="B9" s="69" t="s">
        <v>273</v>
      </c>
      <c r="C9" s="70" t="s">
        <v>274</v>
      </c>
      <c r="D9" s="58" t="s">
        <v>275</v>
      </c>
      <c r="E9" s="68" t="s">
        <v>271</v>
      </c>
      <c r="F9" s="70" t="s">
        <v>276</v>
      </c>
      <c r="G9" s="71">
        <v>45853</v>
      </c>
      <c r="H9" s="72" t="s">
        <v>32</v>
      </c>
      <c r="I9" s="74">
        <v>46948</v>
      </c>
      <c r="J9" s="73" t="s">
        <v>248</v>
      </c>
      <c r="K9" s="72" t="str">
        <f ca="1" t="shared" si="1"/>
        <v>有效</v>
      </c>
    </row>
    <row r="10" s="73" customFormat="1" customHeight="1" spans="1:11">
      <c r="A10" s="70">
        <v>9</v>
      </c>
      <c r="B10" s="69" t="s">
        <v>277</v>
      </c>
      <c r="C10" s="70" t="s">
        <v>278</v>
      </c>
      <c r="D10" s="58" t="s">
        <v>279</v>
      </c>
      <c r="E10" s="68" t="s">
        <v>271</v>
      </c>
      <c r="F10" s="70" t="s">
        <v>280</v>
      </c>
      <c r="G10" s="71">
        <v>45853</v>
      </c>
      <c r="H10" s="72" t="s">
        <v>32</v>
      </c>
      <c r="I10" s="74">
        <v>46948</v>
      </c>
      <c r="J10" s="73" t="s">
        <v>248</v>
      </c>
      <c r="K10" s="72" t="str">
        <f ca="1" t="shared" si="1"/>
        <v>有效</v>
      </c>
    </row>
  </sheetData>
  <autoFilter ref="A1:J10">
    <extLst/>
  </autoFilter>
  <mergeCells count="1">
    <mergeCell ref="G1:I1"/>
  </mergeCells>
  <conditionalFormatting sqref="A$1:K$1048576">
    <cfRule type="containsText" dxfId="3" priority="1" operator="between" text="临期">
      <formula>NOT(ISERROR(SEARCH("临期",A1)))</formula>
    </cfRule>
    <cfRule type="expression" dxfId="4" priority="2">
      <formula>$K1="失效"</formula>
    </cfRule>
  </conditionalFormatting>
  <hyperlinks>
    <hyperlink ref="A1" location="目录!A1" display="序号"/>
  </hyperlink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24"/>
  <sheetViews>
    <sheetView workbookViewId="0">
      <pane ySplit="1" topLeftCell="A2" activePane="bottomLeft" state="frozen"/>
      <selection/>
      <selection pane="bottomLeft" activeCell="C9" sqref="C9"/>
    </sheetView>
  </sheetViews>
  <sheetFormatPr defaultColWidth="9" defaultRowHeight="11.5"/>
  <cols>
    <col min="1" max="1" width="6.72727272727273" style="21" customWidth="1"/>
    <col min="2" max="2" width="11.6363636363636" style="20" customWidth="1"/>
    <col min="3" max="3" width="23.6363636363636" style="20" customWidth="1"/>
    <col min="4" max="4" width="17" style="20" customWidth="1"/>
    <col min="5" max="5" width="13.7272727272727" style="20" customWidth="1"/>
    <col min="6" max="6" width="29.9090909090909" style="20" customWidth="1"/>
    <col min="7" max="7" width="12.4454545454545" style="20" customWidth="1"/>
    <col min="8" max="8" width="13.2636363636364" style="20" customWidth="1"/>
    <col min="9" max="9" width="20.2636363636364" style="20" customWidth="1"/>
    <col min="10" max="10" width="11.0909090909091" style="46" customWidth="1"/>
    <col min="11" max="11" width="7" style="20" customWidth="1"/>
    <col min="12" max="12" width="11.0909090909091" style="46" customWidth="1"/>
    <col min="13" max="13" width="9" style="21"/>
    <col min="14" max="16384" width="9" style="20"/>
  </cols>
  <sheetData>
    <row r="1" ht="21" customHeight="1" spans="1:14">
      <c r="A1" s="41" t="s">
        <v>1</v>
      </c>
      <c r="B1" s="47" t="s">
        <v>281</v>
      </c>
      <c r="C1" s="47" t="s">
        <v>282</v>
      </c>
      <c r="D1" s="47" t="s">
        <v>283</v>
      </c>
      <c r="E1" s="47" t="s">
        <v>284</v>
      </c>
      <c r="F1" s="47" t="s">
        <v>285</v>
      </c>
      <c r="G1" s="47" t="s">
        <v>24</v>
      </c>
      <c r="H1" s="47" t="s">
        <v>286</v>
      </c>
      <c r="I1" s="47" t="s">
        <v>23</v>
      </c>
      <c r="J1" s="53" t="s">
        <v>25</v>
      </c>
      <c r="K1" s="54"/>
      <c r="L1" s="54"/>
      <c r="M1" s="55" t="s">
        <v>27</v>
      </c>
      <c r="N1" s="56" t="s">
        <v>29</v>
      </c>
    </row>
    <row r="2" ht="20" customHeight="1" spans="1:14">
      <c r="A2" s="48">
        <v>1</v>
      </c>
      <c r="B2" s="36" t="s">
        <v>287</v>
      </c>
      <c r="C2" s="49" t="s">
        <v>288</v>
      </c>
      <c r="D2" s="50" t="s">
        <v>289</v>
      </c>
      <c r="E2" s="50" t="s">
        <v>290</v>
      </c>
      <c r="F2" s="49" t="s">
        <v>291</v>
      </c>
      <c r="G2" s="50" t="s">
        <v>292</v>
      </c>
      <c r="H2" s="50" t="s">
        <v>48</v>
      </c>
      <c r="I2" s="49" t="s">
        <v>293</v>
      </c>
      <c r="J2" s="57">
        <v>45422</v>
      </c>
      <c r="K2" s="27" t="s">
        <v>32</v>
      </c>
      <c r="L2" s="57">
        <v>46517</v>
      </c>
      <c r="M2" s="58" t="str">
        <f ca="1">IF(L2="","有效",IF(L2-TODAY()&lt;0,"失效",IF(L2-TODAY()&gt;=20,"有效",IF(AND(L2-TODAY()&gt;0,L2-TODAY()&lt;20),"临期"))))</f>
        <v>有效</v>
      </c>
      <c r="N2" s="36" t="s">
        <v>33</v>
      </c>
    </row>
    <row r="3" ht="20" customHeight="1" spans="1:14">
      <c r="A3" s="48">
        <v>2</v>
      </c>
      <c r="B3" s="36" t="s">
        <v>287</v>
      </c>
      <c r="C3" s="49" t="s">
        <v>288</v>
      </c>
      <c r="D3" s="50" t="s">
        <v>294</v>
      </c>
      <c r="E3" s="50" t="s">
        <v>295</v>
      </c>
      <c r="F3" s="49" t="s">
        <v>291</v>
      </c>
      <c r="G3" s="50" t="s">
        <v>296</v>
      </c>
      <c r="H3" s="50" t="s">
        <v>48</v>
      </c>
      <c r="I3" s="49" t="s">
        <v>293</v>
      </c>
      <c r="J3" s="57">
        <v>45854</v>
      </c>
      <c r="K3" s="27" t="s">
        <v>32</v>
      </c>
      <c r="L3" s="57">
        <v>46950</v>
      </c>
      <c r="M3" s="58" t="s">
        <v>237</v>
      </c>
      <c r="N3" s="36" t="s">
        <v>33</v>
      </c>
    </row>
    <row r="4" ht="34" customHeight="1" spans="1:14">
      <c r="A4" s="48">
        <v>1</v>
      </c>
      <c r="B4" s="36" t="s">
        <v>297</v>
      </c>
      <c r="C4" s="49" t="s">
        <v>298</v>
      </c>
      <c r="D4" s="50" t="s">
        <v>299</v>
      </c>
      <c r="E4" s="50" t="s">
        <v>300</v>
      </c>
      <c r="F4" s="49" t="s">
        <v>301</v>
      </c>
      <c r="G4" s="50" t="s">
        <v>302</v>
      </c>
      <c r="H4" s="50" t="s">
        <v>303</v>
      </c>
      <c r="I4" s="49" t="s">
        <v>304</v>
      </c>
      <c r="J4" s="57">
        <v>45891</v>
      </c>
      <c r="K4" s="27" t="s">
        <v>32</v>
      </c>
      <c r="L4" s="57">
        <v>47041</v>
      </c>
      <c r="M4" s="58" t="str">
        <f ca="1" t="shared" ref="M4:M13" si="0">IF(L4="","有效",IF(L4-TODAY()&lt;0,"失效",IF(L4-TODAY()&gt;=20,"有效",IF(AND(L4-TODAY()&gt;0,L4-TODAY()&lt;20),"临期"))))</f>
        <v>有效</v>
      </c>
      <c r="N4" s="36" t="s">
        <v>33</v>
      </c>
    </row>
    <row r="5" ht="34" customHeight="1" spans="1:14">
      <c r="A5" s="48">
        <v>2</v>
      </c>
      <c r="B5" s="36" t="s">
        <v>297</v>
      </c>
      <c r="C5" s="49" t="s">
        <v>298</v>
      </c>
      <c r="D5" s="50" t="s">
        <v>299</v>
      </c>
      <c r="E5" s="50" t="s">
        <v>305</v>
      </c>
      <c r="F5" s="49" t="s">
        <v>306</v>
      </c>
      <c r="G5" s="50" t="s">
        <v>307</v>
      </c>
      <c r="H5" s="50" t="s">
        <v>308</v>
      </c>
      <c r="I5" s="49" t="s">
        <v>304</v>
      </c>
      <c r="J5" s="57">
        <v>45891</v>
      </c>
      <c r="K5" s="27" t="s">
        <v>32</v>
      </c>
      <c r="L5" s="57">
        <v>47041</v>
      </c>
      <c r="M5" s="58" t="str">
        <f ca="1" t="shared" si="0"/>
        <v>有效</v>
      </c>
      <c r="N5" s="36" t="s">
        <v>33</v>
      </c>
    </row>
    <row r="6" ht="34" customHeight="1" spans="1:14">
      <c r="A6" s="48">
        <v>3</v>
      </c>
      <c r="B6" s="36" t="s">
        <v>297</v>
      </c>
      <c r="C6" s="49" t="s">
        <v>298</v>
      </c>
      <c r="D6" s="50" t="s">
        <v>299</v>
      </c>
      <c r="E6" s="50" t="s">
        <v>309</v>
      </c>
      <c r="F6" s="49" t="s">
        <v>310</v>
      </c>
      <c r="G6" s="50" t="s">
        <v>311</v>
      </c>
      <c r="H6" s="50" t="s">
        <v>312</v>
      </c>
      <c r="I6" s="49" t="s">
        <v>304</v>
      </c>
      <c r="J6" s="57">
        <v>45891</v>
      </c>
      <c r="K6" s="27" t="s">
        <v>32</v>
      </c>
      <c r="L6" s="57">
        <v>47041</v>
      </c>
      <c r="M6" s="58" t="str">
        <f ca="1" t="shared" si="0"/>
        <v>有效</v>
      </c>
      <c r="N6" s="36" t="s">
        <v>33</v>
      </c>
    </row>
    <row r="7" ht="34" customHeight="1" spans="1:14">
      <c r="A7" s="48">
        <v>4</v>
      </c>
      <c r="B7" s="36" t="s">
        <v>297</v>
      </c>
      <c r="C7" s="49" t="s">
        <v>298</v>
      </c>
      <c r="D7" s="50" t="s">
        <v>299</v>
      </c>
      <c r="E7" s="50" t="s">
        <v>313</v>
      </c>
      <c r="F7" s="49" t="s">
        <v>310</v>
      </c>
      <c r="G7" s="50" t="s">
        <v>314</v>
      </c>
      <c r="H7" s="50" t="s">
        <v>315</v>
      </c>
      <c r="I7" s="49" t="s">
        <v>304</v>
      </c>
      <c r="J7" s="57">
        <v>44960</v>
      </c>
      <c r="K7" s="27" t="s">
        <v>32</v>
      </c>
      <c r="L7" s="57">
        <v>46785</v>
      </c>
      <c r="M7" s="58" t="str">
        <f ca="1" t="shared" si="0"/>
        <v>有效</v>
      </c>
      <c r="N7" s="36" t="s">
        <v>33</v>
      </c>
    </row>
    <row r="8" ht="34" customHeight="1" spans="1:14">
      <c r="A8" s="48">
        <v>5</v>
      </c>
      <c r="B8" s="36" t="s">
        <v>297</v>
      </c>
      <c r="C8" s="49" t="s">
        <v>298</v>
      </c>
      <c r="D8" s="50" t="s">
        <v>299</v>
      </c>
      <c r="E8" s="50" t="s">
        <v>316</v>
      </c>
      <c r="F8" s="49" t="s">
        <v>317</v>
      </c>
      <c r="G8" s="50" t="s">
        <v>318</v>
      </c>
      <c r="H8" s="50" t="s">
        <v>319</v>
      </c>
      <c r="I8" s="49" t="s">
        <v>304</v>
      </c>
      <c r="J8" s="57">
        <v>44925</v>
      </c>
      <c r="K8" s="27" t="s">
        <v>32</v>
      </c>
      <c r="L8" s="57">
        <v>46750</v>
      </c>
      <c r="M8" s="58" t="str">
        <f ca="1" t="shared" si="0"/>
        <v>有效</v>
      </c>
      <c r="N8" s="36" t="s">
        <v>33</v>
      </c>
    </row>
    <row r="9" ht="34" customHeight="1" spans="1:14">
      <c r="A9" s="48">
        <v>6</v>
      </c>
      <c r="B9" s="36" t="s">
        <v>297</v>
      </c>
      <c r="C9" s="49" t="s">
        <v>298</v>
      </c>
      <c r="D9" s="50" t="s">
        <v>299</v>
      </c>
      <c r="E9" s="50" t="s">
        <v>320</v>
      </c>
      <c r="F9" s="49" t="s">
        <v>321</v>
      </c>
      <c r="G9" s="50" t="s">
        <v>322</v>
      </c>
      <c r="H9" s="50" t="s">
        <v>323</v>
      </c>
      <c r="I9" s="49" t="s">
        <v>304</v>
      </c>
      <c r="J9" s="57">
        <v>45359</v>
      </c>
      <c r="K9" s="27" t="s">
        <v>32</v>
      </c>
      <c r="L9" s="57">
        <f t="shared" ref="L9:L12" si="1">J9+1825</f>
        <v>47184</v>
      </c>
      <c r="M9" s="58" t="str">
        <f ca="1" t="shared" si="0"/>
        <v>有效</v>
      </c>
      <c r="N9" s="36" t="s">
        <v>33</v>
      </c>
    </row>
    <row r="10" ht="34" customHeight="1" spans="1:14">
      <c r="A10" s="48">
        <v>7</v>
      </c>
      <c r="B10" s="36" t="s">
        <v>297</v>
      </c>
      <c r="C10" s="49" t="s">
        <v>298</v>
      </c>
      <c r="D10" s="50" t="s">
        <v>299</v>
      </c>
      <c r="E10" s="50" t="s">
        <v>324</v>
      </c>
      <c r="F10" s="49" t="s">
        <v>306</v>
      </c>
      <c r="G10" s="50" t="s">
        <v>325</v>
      </c>
      <c r="H10" s="50" t="s">
        <v>326</v>
      </c>
      <c r="I10" s="49" t="s">
        <v>304</v>
      </c>
      <c r="J10" s="57">
        <v>45359</v>
      </c>
      <c r="K10" s="27" t="s">
        <v>32</v>
      </c>
      <c r="L10" s="57">
        <f t="shared" si="1"/>
        <v>47184</v>
      </c>
      <c r="M10" s="58" t="str">
        <f ca="1" t="shared" si="0"/>
        <v>有效</v>
      </c>
      <c r="N10" s="36" t="s">
        <v>33</v>
      </c>
    </row>
    <row r="11" ht="38" customHeight="1" spans="1:14">
      <c r="A11" s="48">
        <v>8</v>
      </c>
      <c r="B11" s="36" t="s">
        <v>297</v>
      </c>
      <c r="C11" s="49" t="s">
        <v>298</v>
      </c>
      <c r="D11" s="50" t="s">
        <v>327</v>
      </c>
      <c r="E11" s="50" t="s">
        <v>290</v>
      </c>
      <c r="F11" s="49" t="s">
        <v>328</v>
      </c>
      <c r="G11" s="50" t="s">
        <v>329</v>
      </c>
      <c r="H11" s="50" t="s">
        <v>330</v>
      </c>
      <c r="I11" s="49" t="s">
        <v>304</v>
      </c>
      <c r="J11" s="57">
        <v>45380</v>
      </c>
      <c r="K11" s="27" t="s">
        <v>32</v>
      </c>
      <c r="L11" s="57">
        <f t="shared" si="1"/>
        <v>47205</v>
      </c>
      <c r="M11" s="58" t="str">
        <f ca="1" t="shared" si="0"/>
        <v>有效</v>
      </c>
      <c r="N11" s="36" t="s">
        <v>33</v>
      </c>
    </row>
    <row r="12" ht="84" spans="1:14">
      <c r="A12" s="48">
        <v>9</v>
      </c>
      <c r="B12" s="36" t="s">
        <v>297</v>
      </c>
      <c r="C12" s="49" t="s">
        <v>298</v>
      </c>
      <c r="D12" s="50" t="s">
        <v>331</v>
      </c>
      <c r="E12" s="50" t="s">
        <v>295</v>
      </c>
      <c r="F12" s="49" t="s">
        <v>332</v>
      </c>
      <c r="G12" s="50" t="s">
        <v>333</v>
      </c>
      <c r="H12" s="50" t="s">
        <v>334</v>
      </c>
      <c r="I12" s="49" t="s">
        <v>304</v>
      </c>
      <c r="J12" s="57">
        <v>45723</v>
      </c>
      <c r="K12" s="27" t="s">
        <v>32</v>
      </c>
      <c r="L12" s="57">
        <f t="shared" si="1"/>
        <v>47548</v>
      </c>
      <c r="M12" s="58" t="str">
        <f ca="1" t="shared" si="0"/>
        <v>有效</v>
      </c>
      <c r="N12" s="36" t="s">
        <v>33</v>
      </c>
    </row>
    <row r="13" ht="24" spans="1:14">
      <c r="A13" s="48">
        <v>1</v>
      </c>
      <c r="B13" s="20" t="s">
        <v>335</v>
      </c>
      <c r="C13" s="51" t="s">
        <v>336</v>
      </c>
      <c r="D13" s="20" t="s">
        <v>337</v>
      </c>
      <c r="E13" s="20" t="s">
        <v>295</v>
      </c>
      <c r="F13" s="36" t="s">
        <v>338</v>
      </c>
      <c r="I13" s="51" t="s">
        <v>339</v>
      </c>
      <c r="J13" s="46">
        <v>45166</v>
      </c>
      <c r="K13" s="27" t="s">
        <v>32</v>
      </c>
      <c r="L13" s="59"/>
      <c r="M13" s="58" t="str">
        <f ca="1" t="shared" si="0"/>
        <v>有效</v>
      </c>
      <c r="N13" s="36" t="s">
        <v>340</v>
      </c>
    </row>
    <row r="14" ht="36" spans="1:14">
      <c r="A14" s="48">
        <v>3</v>
      </c>
      <c r="B14" s="20" t="s">
        <v>335</v>
      </c>
      <c r="C14" s="51" t="s">
        <v>341</v>
      </c>
      <c r="D14" s="20" t="s">
        <v>342</v>
      </c>
      <c r="E14" s="20" t="s">
        <v>320</v>
      </c>
      <c r="F14" s="51" t="s">
        <v>343</v>
      </c>
      <c r="G14" s="20" t="s">
        <v>344</v>
      </c>
      <c r="I14" s="51" t="s">
        <v>345</v>
      </c>
      <c r="J14" s="46">
        <v>45546</v>
      </c>
      <c r="K14" s="27" t="s">
        <v>32</v>
      </c>
      <c r="M14" s="58" t="str">
        <f ca="1" t="shared" ref="M14:M21" si="2">IF(L14="","有效",IF(L14-TODAY()&lt;0,"失效",IF(L14-TODAY()&gt;=20,"有效",IF(AND(L14-TODAY()&gt;0,L14-TODAY()&lt;20),"临期"))))</f>
        <v>有效</v>
      </c>
      <c r="N14" s="36" t="s">
        <v>33</v>
      </c>
    </row>
    <row r="15" ht="36" customHeight="1" spans="1:14">
      <c r="A15" s="48">
        <v>4</v>
      </c>
      <c r="B15" s="20" t="s">
        <v>335</v>
      </c>
      <c r="C15" s="51" t="s">
        <v>346</v>
      </c>
      <c r="D15" s="20" t="s">
        <v>342</v>
      </c>
      <c r="E15" s="20" t="s">
        <v>324</v>
      </c>
      <c r="F15" s="51" t="s">
        <v>343</v>
      </c>
      <c r="G15" s="20" t="s">
        <v>347</v>
      </c>
      <c r="I15" s="51" t="s">
        <v>345</v>
      </c>
      <c r="J15" s="46">
        <v>45546</v>
      </c>
      <c r="K15" s="27" t="s">
        <v>32</v>
      </c>
      <c r="M15" s="58" t="str">
        <f ca="1" t="shared" si="2"/>
        <v>有效</v>
      </c>
      <c r="N15" s="36" t="s">
        <v>33</v>
      </c>
    </row>
    <row r="16" ht="48" customHeight="1" spans="1:14">
      <c r="A16" s="48">
        <v>5</v>
      </c>
      <c r="B16" s="20" t="s">
        <v>335</v>
      </c>
      <c r="C16" s="51" t="s">
        <v>341</v>
      </c>
      <c r="D16" s="20" t="s">
        <v>342</v>
      </c>
      <c r="E16" s="20" t="s">
        <v>305</v>
      </c>
      <c r="F16" s="51" t="s">
        <v>348</v>
      </c>
      <c r="G16" s="20" t="s">
        <v>349</v>
      </c>
      <c r="I16" s="51" t="s">
        <v>345</v>
      </c>
      <c r="J16" s="46">
        <v>44330</v>
      </c>
      <c r="K16" s="27" t="s">
        <v>32</v>
      </c>
      <c r="M16" s="58" t="str">
        <f ca="1" t="shared" si="2"/>
        <v>有效</v>
      </c>
      <c r="N16" s="36" t="s">
        <v>33</v>
      </c>
    </row>
    <row r="17" ht="74" customHeight="1" spans="1:14">
      <c r="A17" s="48">
        <v>6</v>
      </c>
      <c r="B17" s="20" t="s">
        <v>350</v>
      </c>
      <c r="C17" s="20" t="s">
        <v>351</v>
      </c>
      <c r="D17" s="20" t="s">
        <v>352</v>
      </c>
      <c r="E17" s="20" t="s">
        <v>353</v>
      </c>
      <c r="F17" s="36" t="s">
        <v>354</v>
      </c>
      <c r="G17" s="20" t="s">
        <v>355</v>
      </c>
      <c r="I17" s="51" t="s">
        <v>356</v>
      </c>
      <c r="J17" s="46">
        <v>45736</v>
      </c>
      <c r="K17" s="27" t="s">
        <v>32</v>
      </c>
      <c r="M17" s="58" t="str">
        <f ca="1" t="shared" si="2"/>
        <v>有效</v>
      </c>
      <c r="N17" s="36" t="s">
        <v>33</v>
      </c>
    </row>
    <row r="18" ht="40" customHeight="1" spans="1:13">
      <c r="A18" s="48">
        <v>7</v>
      </c>
      <c r="B18" s="20" t="s">
        <v>350</v>
      </c>
      <c r="C18" s="20" t="s">
        <v>357</v>
      </c>
      <c r="D18" s="20" t="s">
        <v>358</v>
      </c>
      <c r="E18" s="20" t="s">
        <v>359</v>
      </c>
      <c r="F18" s="51" t="s">
        <v>360</v>
      </c>
      <c r="G18" s="20" t="s">
        <v>361</v>
      </c>
      <c r="I18" s="60" t="s">
        <v>362</v>
      </c>
      <c r="J18" s="46">
        <v>45766</v>
      </c>
      <c r="K18" s="27" t="s">
        <v>32</v>
      </c>
      <c r="M18" s="58" t="str">
        <f ca="1" t="shared" si="2"/>
        <v>有效</v>
      </c>
    </row>
    <row r="19" ht="48" spans="1:13">
      <c r="A19" s="48">
        <v>8</v>
      </c>
      <c r="B19" s="20" t="s">
        <v>350</v>
      </c>
      <c r="C19" s="20" t="s">
        <v>363</v>
      </c>
      <c r="D19" s="20" t="s">
        <v>364</v>
      </c>
      <c r="E19" s="20" t="s">
        <v>365</v>
      </c>
      <c r="F19" s="52" t="s">
        <v>366</v>
      </c>
      <c r="G19" s="20">
        <v>250429006</v>
      </c>
      <c r="I19" s="36" t="s">
        <v>367</v>
      </c>
      <c r="J19" s="46">
        <v>45783</v>
      </c>
      <c r="K19" s="27" t="s">
        <v>32</v>
      </c>
      <c r="M19" s="58" t="str">
        <f ca="1" t="shared" si="2"/>
        <v>有效</v>
      </c>
    </row>
    <row r="20" ht="36" spans="1:13">
      <c r="A20" s="21">
        <v>9</v>
      </c>
      <c r="B20" s="20" t="s">
        <v>350</v>
      </c>
      <c r="C20" s="20" t="s">
        <v>368</v>
      </c>
      <c r="D20" s="20" t="s">
        <v>369</v>
      </c>
      <c r="F20" s="51" t="s">
        <v>370</v>
      </c>
      <c r="G20" s="20" t="s">
        <v>371</v>
      </c>
      <c r="I20" s="36" t="s">
        <v>372</v>
      </c>
      <c r="J20" s="46">
        <v>44923</v>
      </c>
      <c r="K20" s="27" t="s">
        <v>32</v>
      </c>
      <c r="M20" s="58" t="str">
        <f ca="1" t="shared" si="2"/>
        <v>有效</v>
      </c>
    </row>
    <row r="21" ht="36" spans="1:13">
      <c r="A21" s="48">
        <v>10</v>
      </c>
      <c r="B21" s="20" t="s">
        <v>350</v>
      </c>
      <c r="C21" s="20" t="s">
        <v>368</v>
      </c>
      <c r="D21" s="20" t="s">
        <v>373</v>
      </c>
      <c r="F21" s="51" t="s">
        <v>374</v>
      </c>
      <c r="G21" s="20" t="s">
        <v>375</v>
      </c>
      <c r="I21" s="36" t="s">
        <v>372</v>
      </c>
      <c r="J21" s="46">
        <v>43845</v>
      </c>
      <c r="K21" s="27" t="s">
        <v>32</v>
      </c>
      <c r="M21" s="58" t="str">
        <f ca="1" t="shared" si="2"/>
        <v>有效</v>
      </c>
    </row>
    <row r="22" ht="83" spans="1:14">
      <c r="A22" s="21">
        <v>11</v>
      </c>
      <c r="B22" s="36" t="s">
        <v>350</v>
      </c>
      <c r="C22" s="20" t="s">
        <v>376</v>
      </c>
      <c r="D22" s="20" t="s">
        <v>377</v>
      </c>
      <c r="E22" s="20" t="s">
        <v>378</v>
      </c>
      <c r="F22" s="52" t="s">
        <v>379</v>
      </c>
      <c r="G22" s="20" t="s">
        <v>380</v>
      </c>
      <c r="I22" s="51" t="s">
        <v>381</v>
      </c>
      <c r="J22" s="46">
        <v>46122</v>
      </c>
      <c r="K22" s="27" t="s">
        <v>32</v>
      </c>
      <c r="M22" s="27" t="s">
        <v>237</v>
      </c>
      <c r="N22" s="36" t="s">
        <v>382</v>
      </c>
    </row>
    <row r="23" ht="71.5" spans="1:14">
      <c r="A23" s="21">
        <v>12</v>
      </c>
      <c r="B23" s="36" t="s">
        <v>350</v>
      </c>
      <c r="C23" s="20" t="s">
        <v>383</v>
      </c>
      <c r="D23" s="20" t="s">
        <v>377</v>
      </c>
      <c r="E23" s="20" t="s">
        <v>384</v>
      </c>
      <c r="F23" s="52" t="s">
        <v>385</v>
      </c>
      <c r="G23" s="20" t="s">
        <v>386</v>
      </c>
      <c r="I23" s="51" t="s">
        <v>381</v>
      </c>
      <c r="J23" s="46">
        <v>46122</v>
      </c>
      <c r="K23" s="27" t="s">
        <v>32</v>
      </c>
      <c r="M23" s="27" t="s">
        <v>237</v>
      </c>
      <c r="N23" s="36" t="s">
        <v>382</v>
      </c>
    </row>
    <row r="24" ht="24" spans="1:14">
      <c r="A24" s="21">
        <v>13</v>
      </c>
      <c r="B24" s="20" t="s">
        <v>350</v>
      </c>
      <c r="C24" s="36" t="s">
        <v>387</v>
      </c>
      <c r="D24" s="20" t="s">
        <v>377</v>
      </c>
      <c r="E24" s="36" t="s">
        <v>388</v>
      </c>
      <c r="F24" s="20" t="s">
        <v>48</v>
      </c>
      <c r="G24" s="20" t="s">
        <v>48</v>
      </c>
      <c r="I24" s="51" t="s">
        <v>381</v>
      </c>
      <c r="J24" s="46">
        <v>46122</v>
      </c>
      <c r="K24" s="27" t="s">
        <v>32</v>
      </c>
      <c r="M24" s="27" t="s">
        <v>237</v>
      </c>
      <c r="N24" s="36" t="s">
        <v>382</v>
      </c>
    </row>
  </sheetData>
  <autoFilter ref="A1:L24">
    <extLst/>
  </autoFilter>
  <mergeCells count="1">
    <mergeCell ref="J1:L1"/>
  </mergeCells>
  <conditionalFormatting sqref="N1">
    <cfRule type="expression" dxfId="1" priority="65">
      <formula>$L1="临期"</formula>
    </cfRule>
    <cfRule type="expression" dxfId="2" priority="66">
      <formula>$L1="失效"</formula>
    </cfRule>
  </conditionalFormatting>
  <conditionalFormatting sqref="B13:L13">
    <cfRule type="containsText" dxfId="5" priority="71" operator="between" text="临期">
      <formula>NOT(ISERROR(SEARCH("临期",B13)))</formula>
    </cfRule>
    <cfRule type="expression" dxfId="4" priority="72">
      <formula>$M13="失效"</formula>
    </cfRule>
  </conditionalFormatting>
  <conditionalFormatting sqref="B14:K14">
    <cfRule type="containsText" dxfId="5" priority="35" operator="between" text="临期">
      <formula>NOT(ISERROR(SEARCH("临期",B14)))</formula>
    </cfRule>
    <cfRule type="expression" dxfId="4" priority="36">
      <formula>$M14="失效"</formula>
    </cfRule>
  </conditionalFormatting>
  <conditionalFormatting sqref="C19">
    <cfRule type="expression" dxfId="4" priority="20">
      <formula>$M20="失效"</formula>
    </cfRule>
  </conditionalFormatting>
  <conditionalFormatting sqref="D19:K19">
    <cfRule type="containsText" dxfId="5" priority="15" operator="between" text="临期">
      <formula>NOT(ISERROR(SEARCH("临期",D19)))</formula>
    </cfRule>
  </conditionalFormatting>
  <conditionalFormatting sqref="E19">
    <cfRule type="expression" dxfId="4" priority="114">
      <formula>$M20="失效"</formula>
    </cfRule>
  </conditionalFormatting>
  <conditionalFormatting sqref="F19:K19">
    <cfRule type="expression" dxfId="4" priority="16">
      <formula>$M19="失效"</formula>
    </cfRule>
  </conditionalFormatting>
  <conditionalFormatting sqref="A9:A14">
    <cfRule type="containsText" dxfId="5" priority="61" operator="between" text="临期">
      <formula>NOT(ISERROR(SEARCH("临期",A9)))</formula>
    </cfRule>
    <cfRule type="expression" dxfId="4" priority="62">
      <formula>$M9="失效"</formula>
    </cfRule>
  </conditionalFormatting>
  <conditionalFormatting sqref="A17:A21">
    <cfRule type="containsText" dxfId="5" priority="31" operator="between" text="临期">
      <formula>NOT(ISERROR(SEARCH("临期",A17)))</formula>
    </cfRule>
    <cfRule type="expression" dxfId="4" priority="32">
      <formula>$M17="失效"</formula>
    </cfRule>
  </conditionalFormatting>
  <conditionalFormatting sqref="B19:B21">
    <cfRule type="expression" dxfId="4" priority="8">
      <formula>$M19="失效"</formula>
    </cfRule>
  </conditionalFormatting>
  <conditionalFormatting sqref="L14:L21">
    <cfRule type="containsText" dxfId="5" priority="9" operator="between" text="临期">
      <formula>NOT(ISERROR(SEARCH("临期",L14)))</formula>
    </cfRule>
  </conditionalFormatting>
  <conditionalFormatting sqref="M13:M21">
    <cfRule type="containsText" dxfId="5" priority="3" operator="between" text="临期">
      <formula>NOT(ISERROR(SEARCH("临期",M13)))</formula>
    </cfRule>
    <cfRule type="expression" dxfId="4" priority="4">
      <formula>$M13="失效"</formula>
    </cfRule>
  </conditionalFormatting>
  <conditionalFormatting sqref="A1:M8">
    <cfRule type="containsText" dxfId="5" priority="99" operator="between" text="临期">
      <formula>NOT(ISERROR(SEARCH("临期",A1)))</formula>
    </cfRule>
    <cfRule type="expression" dxfId="4" priority="100">
      <formula>$M1="失效"</formula>
    </cfRule>
  </conditionalFormatting>
  <conditionalFormatting sqref="A2:A3 D19 A22:M1048576">
    <cfRule type="expression" dxfId="4" priority="112">
      <formula>$M2="失效"</formula>
    </cfRule>
  </conditionalFormatting>
  <conditionalFormatting sqref="A2:A3 A22:M1048576">
    <cfRule type="containsText" dxfId="5" priority="111" operator="between" text="临期">
      <formula>NOT(ISERROR(SEARCH("临期",A2)))</formula>
    </cfRule>
  </conditionalFormatting>
  <conditionalFormatting sqref="B9:M12">
    <cfRule type="containsText" dxfId="5" priority="1" operator="between" text="临期">
      <formula>NOT(ISERROR(SEARCH("临期",B9)))</formula>
    </cfRule>
    <cfRule type="expression" dxfId="4" priority="2">
      <formula>$M9="失效"</formula>
    </cfRule>
  </conditionalFormatting>
  <conditionalFormatting sqref="L14:L21 C20:C21">
    <cfRule type="expression" dxfId="4" priority="10">
      <formula>$M14="失效"</formula>
    </cfRule>
  </conditionalFormatting>
  <conditionalFormatting sqref="A15:K16">
    <cfRule type="containsText" dxfId="5" priority="37" operator="between" text="临期">
      <formula>NOT(ISERROR(SEARCH("临期",A15)))</formula>
    </cfRule>
    <cfRule type="expression" dxfId="4" priority="38">
      <formula>$M15="失效"</formula>
    </cfRule>
  </conditionalFormatting>
  <conditionalFormatting sqref="B17:K18">
    <cfRule type="containsText" dxfId="5" priority="25" operator="between" text="临期">
      <formula>NOT(ISERROR(SEARCH("临期",B17)))</formula>
    </cfRule>
    <cfRule type="expression" dxfId="4" priority="26">
      <formula>$M17="失效"</formula>
    </cfRule>
  </conditionalFormatting>
  <conditionalFormatting sqref="B19:C21">
    <cfRule type="containsText" dxfId="5" priority="7" operator="between" text="临期">
      <formula>NOT(ISERROR(SEARCH("临期",B19)))</formula>
    </cfRule>
  </conditionalFormatting>
  <conditionalFormatting sqref="E20:K21">
    <cfRule type="containsText" dxfId="5" priority="5" operator="between" text="临期">
      <formula>NOT(ISERROR(SEARCH("临期",E20)))</formula>
    </cfRule>
    <cfRule type="expression" dxfId="4" priority="6">
      <formula>$M20="失效"</formula>
    </cfRule>
  </conditionalFormatting>
  <dataValidations count="1">
    <dataValidation type="list" allowBlank="1" showInputMessage="1" showErrorMessage="1" sqref="B2:B13 B14:B1048576">
      <formula1>"入网证,核准证,测试报告,第三方检测报告"</formula1>
    </dataValidation>
  </dataValidations>
  <hyperlinks>
    <hyperlink ref="A1" location="目录!A1" display="序号"/>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1"/>
  <dimension ref="A1:K23"/>
  <sheetViews>
    <sheetView workbookViewId="0">
      <pane ySplit="1" topLeftCell="A2" activePane="bottomLeft" state="frozen"/>
      <selection/>
      <selection pane="bottomLeft" activeCell="D26" sqref="D26"/>
    </sheetView>
  </sheetViews>
  <sheetFormatPr defaultColWidth="9" defaultRowHeight="14"/>
  <cols>
    <col min="1" max="1" width="6.44545454545455" style="38" customWidth="1"/>
    <col min="2" max="2" width="12.0909090909091" style="39" customWidth="1"/>
    <col min="3" max="3" width="21.9090909090909" style="40" customWidth="1"/>
    <col min="4" max="4" width="22.1818181818182" style="38" customWidth="1"/>
    <col min="5" max="5" width="15" style="38" customWidth="1"/>
    <col min="6" max="6" width="18" style="38" customWidth="1"/>
    <col min="7" max="7" width="13.0909090909091" style="40" customWidth="1"/>
    <col min="8" max="8" width="13.4454545454545" style="39" customWidth="1"/>
    <col min="9" max="9" width="10.9090909090909" style="40" customWidth="1"/>
    <col min="10" max="10" width="7.44545454545455" style="38" customWidth="1"/>
    <col min="11" max="16384" width="9" style="40"/>
  </cols>
  <sheetData>
    <row r="1" s="37" customFormat="1" ht="32" customHeight="1" spans="1:11">
      <c r="A1" s="41" t="s">
        <v>1</v>
      </c>
      <c r="B1" s="42" t="s">
        <v>389</v>
      </c>
      <c r="C1" s="42" t="s">
        <v>390</v>
      </c>
      <c r="D1" s="42" t="s">
        <v>391</v>
      </c>
      <c r="E1" s="42" t="s">
        <v>392</v>
      </c>
      <c r="F1" s="42" t="s">
        <v>393</v>
      </c>
      <c r="G1" s="42" t="s">
        <v>394</v>
      </c>
      <c r="H1" s="42" t="s">
        <v>395</v>
      </c>
      <c r="I1" s="42" t="s">
        <v>396</v>
      </c>
      <c r="J1" s="42" t="s">
        <v>57</v>
      </c>
      <c r="K1" s="33" t="s">
        <v>27</v>
      </c>
    </row>
    <row r="2" ht="36" hidden="1" customHeight="1" spans="1:11">
      <c r="A2" s="38">
        <v>1</v>
      </c>
      <c r="B2" s="39">
        <v>45187</v>
      </c>
      <c r="D2" s="38" t="s">
        <v>397</v>
      </c>
      <c r="E2" s="38">
        <v>74155003</v>
      </c>
      <c r="F2" s="38" t="s">
        <v>398</v>
      </c>
      <c r="G2" s="40" t="s">
        <v>399</v>
      </c>
      <c r="H2" s="39" t="s">
        <v>76</v>
      </c>
      <c r="J2" s="27" t="s">
        <v>400</v>
      </c>
      <c r="K2" s="40" t="str">
        <f ca="1">IF(G2="商标无效","失效",IF(G2="商标已注册",IF(I2="","有效",IF(I2-TODAY()&lt;0,"失效",IF(I2-TODAY()&gt;=20,"有效",IF(AND(I2-TODAY()&gt;0,I2-TODAY()&lt;20),"临期")))),"审核中"))</f>
        <v>审核中</v>
      </c>
    </row>
    <row r="3" ht="36" customHeight="1" spans="1:11">
      <c r="A3" s="38">
        <v>2</v>
      </c>
      <c r="B3" s="39">
        <v>45187</v>
      </c>
      <c r="D3" s="38" t="s">
        <v>401</v>
      </c>
      <c r="E3" s="38">
        <v>74148535</v>
      </c>
      <c r="F3" s="38" t="s">
        <v>402</v>
      </c>
      <c r="G3" s="40" t="s">
        <v>403</v>
      </c>
      <c r="H3" s="39">
        <v>45372</v>
      </c>
      <c r="I3" s="43">
        <v>49023</v>
      </c>
      <c r="J3" s="27" t="s">
        <v>400</v>
      </c>
      <c r="K3" s="40" t="str">
        <f ca="1">IF(G3="商标无效","失效",IF(G3="商标已注册",IF(I3="","有效",IF(I3-TODAY()&lt;0,"失效",IF(I3-TODAY()&gt;=20,"有效",IF(AND(I3-TODAY()&gt;0,I3-TODAY()&lt;20),"临期")))),"审核中"))</f>
        <v>有效</v>
      </c>
    </row>
    <row r="4" ht="36" hidden="1" customHeight="1" spans="1:11">
      <c r="A4" s="38">
        <v>3</v>
      </c>
      <c r="B4" s="39">
        <v>45187</v>
      </c>
      <c r="D4" s="38" t="s">
        <v>404</v>
      </c>
      <c r="E4" s="38">
        <v>74141243</v>
      </c>
      <c r="F4" s="38" t="s">
        <v>405</v>
      </c>
      <c r="G4" s="40" t="s">
        <v>399</v>
      </c>
      <c r="H4" s="39" t="s">
        <v>76</v>
      </c>
      <c r="J4" s="27" t="s">
        <v>400</v>
      </c>
      <c r="K4" s="40" t="str">
        <f ca="1" t="shared" ref="K4:K23" si="0">IF(G4="商标无效","失效",IF(G4="商标已注册",IF(I4="","有效",IF(I4-TODAY()&lt;0,"失效",IF(I4-TODAY()&gt;=20,"有效",IF(AND(I4-TODAY()&gt;0,I4-TODAY()&lt;20),"临期")))),"审核中"))</f>
        <v>审核中</v>
      </c>
    </row>
    <row r="5" ht="36" hidden="1" customHeight="1" spans="1:11">
      <c r="A5" s="38">
        <v>4</v>
      </c>
      <c r="B5" s="39">
        <v>45187</v>
      </c>
      <c r="D5" s="38" t="s">
        <v>401</v>
      </c>
      <c r="E5" s="38">
        <v>74148555</v>
      </c>
      <c r="F5" s="38" t="s">
        <v>398</v>
      </c>
      <c r="G5" s="40" t="s">
        <v>399</v>
      </c>
      <c r="H5" s="39" t="s">
        <v>76</v>
      </c>
      <c r="J5" s="27" t="s">
        <v>400</v>
      </c>
      <c r="K5" s="40" t="str">
        <f ca="1" t="shared" si="0"/>
        <v>审核中</v>
      </c>
    </row>
    <row r="6" ht="36" hidden="1" customHeight="1" spans="1:11">
      <c r="A6" s="38">
        <v>5</v>
      </c>
      <c r="B6" s="39">
        <v>45187</v>
      </c>
      <c r="D6" s="38" t="s">
        <v>397</v>
      </c>
      <c r="E6" s="38">
        <v>74150404</v>
      </c>
      <c r="F6" s="38" t="s">
        <v>406</v>
      </c>
      <c r="G6" s="40" t="s">
        <v>399</v>
      </c>
      <c r="H6" s="39" t="s">
        <v>76</v>
      </c>
      <c r="J6" s="27" t="s">
        <v>400</v>
      </c>
      <c r="K6" s="40" t="str">
        <f ca="1" t="shared" si="0"/>
        <v>审核中</v>
      </c>
    </row>
    <row r="7" ht="36" hidden="1" customHeight="1" spans="1:11">
      <c r="A7" s="38">
        <v>6</v>
      </c>
      <c r="B7" s="39">
        <v>45187</v>
      </c>
      <c r="D7" s="38" t="s">
        <v>404</v>
      </c>
      <c r="E7" s="38">
        <v>74135077</v>
      </c>
      <c r="F7" s="38" t="s">
        <v>402</v>
      </c>
      <c r="G7" s="40" t="s">
        <v>399</v>
      </c>
      <c r="H7" s="39" t="s">
        <v>76</v>
      </c>
      <c r="J7" s="27" t="s">
        <v>400</v>
      </c>
      <c r="K7" s="40" t="str">
        <f ca="1" t="shared" si="0"/>
        <v>审核中</v>
      </c>
    </row>
    <row r="8" ht="36" hidden="1" customHeight="1" spans="1:11">
      <c r="A8" s="38">
        <v>7</v>
      </c>
      <c r="B8" s="39">
        <v>45187</v>
      </c>
      <c r="D8" s="38" t="s">
        <v>407</v>
      </c>
      <c r="E8" s="38">
        <v>74136572</v>
      </c>
      <c r="F8" s="38" t="s">
        <v>402</v>
      </c>
      <c r="G8" s="40" t="s">
        <v>399</v>
      </c>
      <c r="H8" s="39" t="s">
        <v>76</v>
      </c>
      <c r="J8" s="27" t="s">
        <v>400</v>
      </c>
      <c r="K8" s="40" t="str">
        <f ca="1" t="shared" si="0"/>
        <v>审核中</v>
      </c>
    </row>
    <row r="9" ht="36" customHeight="1" spans="1:11">
      <c r="A9" s="38">
        <v>8</v>
      </c>
      <c r="B9" s="39">
        <v>45187</v>
      </c>
      <c r="D9" s="38" t="s">
        <v>401</v>
      </c>
      <c r="E9" s="38">
        <v>74136594</v>
      </c>
      <c r="F9" s="38" t="s">
        <v>406</v>
      </c>
      <c r="G9" s="40" t="s">
        <v>403</v>
      </c>
      <c r="H9" s="39">
        <v>45372</v>
      </c>
      <c r="I9" s="44">
        <v>49023</v>
      </c>
      <c r="J9" s="45" t="s">
        <v>408</v>
      </c>
      <c r="K9" s="40" t="str">
        <f ca="1" t="shared" si="0"/>
        <v>有效</v>
      </c>
    </row>
    <row r="10" ht="36" hidden="1" customHeight="1" spans="1:11">
      <c r="A10" s="38">
        <v>9</v>
      </c>
      <c r="B10" s="39">
        <v>45187</v>
      </c>
      <c r="D10" s="38" t="s">
        <v>407</v>
      </c>
      <c r="E10" s="38">
        <v>74138266</v>
      </c>
      <c r="F10" s="38" t="s">
        <v>398</v>
      </c>
      <c r="G10" s="40" t="s">
        <v>399</v>
      </c>
      <c r="H10" s="39" t="s">
        <v>76</v>
      </c>
      <c r="J10" s="27" t="s">
        <v>400</v>
      </c>
      <c r="K10" s="40" t="str">
        <f ca="1" t="shared" si="0"/>
        <v>审核中</v>
      </c>
    </row>
    <row r="11" ht="36" hidden="1" customHeight="1" spans="1:11">
      <c r="A11" s="38">
        <v>10</v>
      </c>
      <c r="B11" s="39">
        <v>45187</v>
      </c>
      <c r="D11" s="38" t="s">
        <v>407</v>
      </c>
      <c r="E11" s="38">
        <v>74138260</v>
      </c>
      <c r="F11" s="38" t="s">
        <v>406</v>
      </c>
      <c r="G11" s="40" t="s">
        <v>399</v>
      </c>
      <c r="H11" s="39" t="s">
        <v>76</v>
      </c>
      <c r="J11" s="27" t="s">
        <v>400</v>
      </c>
      <c r="K11" s="40" t="str">
        <f ca="1" t="shared" si="0"/>
        <v>审核中</v>
      </c>
    </row>
    <row r="12" ht="36" hidden="1" customHeight="1" spans="1:11">
      <c r="A12" s="38">
        <v>11</v>
      </c>
      <c r="B12" s="39">
        <v>45187</v>
      </c>
      <c r="D12" s="38" t="s">
        <v>404</v>
      </c>
      <c r="E12" s="38">
        <v>74139816</v>
      </c>
      <c r="F12" s="38" t="s">
        <v>406</v>
      </c>
      <c r="G12" s="40" t="s">
        <v>409</v>
      </c>
      <c r="H12" s="39" t="s">
        <v>76</v>
      </c>
      <c r="J12" s="38" t="s">
        <v>400</v>
      </c>
      <c r="K12" s="40" t="str">
        <f ca="1" t="shared" si="0"/>
        <v>失效</v>
      </c>
    </row>
    <row r="13" ht="36" hidden="1" customHeight="1" spans="1:11">
      <c r="A13" s="38">
        <v>12</v>
      </c>
      <c r="B13" s="39">
        <v>45187</v>
      </c>
      <c r="D13" s="38" t="s">
        <v>397</v>
      </c>
      <c r="E13" s="38">
        <v>74148528</v>
      </c>
      <c r="F13" s="38" t="s">
        <v>402</v>
      </c>
      <c r="G13" s="40" t="s">
        <v>410</v>
      </c>
      <c r="H13" s="39" t="s">
        <v>76</v>
      </c>
      <c r="J13" s="27" t="s">
        <v>400</v>
      </c>
      <c r="K13" s="40" t="str">
        <f ca="1" t="shared" si="0"/>
        <v>审核中</v>
      </c>
    </row>
    <row r="14" ht="36" customHeight="1" spans="1:11">
      <c r="A14" s="38">
        <v>13</v>
      </c>
      <c r="B14" s="39">
        <v>43907</v>
      </c>
      <c r="D14" s="38" t="s">
        <v>411</v>
      </c>
      <c r="E14" s="38">
        <v>44654708</v>
      </c>
      <c r="F14" s="38" t="s">
        <v>405</v>
      </c>
      <c r="G14" s="40" t="s">
        <v>403</v>
      </c>
      <c r="H14" s="39">
        <v>44193</v>
      </c>
      <c r="I14" s="44">
        <v>47844</v>
      </c>
      <c r="J14" s="45" t="s">
        <v>408</v>
      </c>
      <c r="K14" s="40" t="str">
        <f ca="1" t="shared" si="0"/>
        <v>有效</v>
      </c>
    </row>
    <row r="15" ht="36" customHeight="1" spans="1:11">
      <c r="A15" s="38">
        <v>14</v>
      </c>
      <c r="B15" s="39">
        <v>43907</v>
      </c>
      <c r="D15" s="38" t="s">
        <v>411</v>
      </c>
      <c r="E15" s="38">
        <v>44669726</v>
      </c>
      <c r="F15" s="38" t="s">
        <v>406</v>
      </c>
      <c r="G15" s="40" t="s">
        <v>403</v>
      </c>
      <c r="H15" s="39">
        <v>44269</v>
      </c>
      <c r="J15" s="27" t="s">
        <v>400</v>
      </c>
      <c r="K15" s="40" t="str">
        <f ca="1" t="shared" si="0"/>
        <v>有效</v>
      </c>
    </row>
    <row r="16" ht="36" customHeight="1" spans="1:11">
      <c r="A16" s="38">
        <v>15</v>
      </c>
      <c r="B16" s="39">
        <v>43907</v>
      </c>
      <c r="D16" s="38" t="s">
        <v>411</v>
      </c>
      <c r="E16" s="38">
        <v>44666527</v>
      </c>
      <c r="F16" s="38" t="s">
        <v>398</v>
      </c>
      <c r="G16" s="40" t="s">
        <v>403</v>
      </c>
      <c r="H16" s="39">
        <v>44241</v>
      </c>
      <c r="I16" s="44">
        <v>47892</v>
      </c>
      <c r="J16" s="45" t="s">
        <v>408</v>
      </c>
      <c r="K16" s="40" t="str">
        <f ca="1" t="shared" si="0"/>
        <v>有效</v>
      </c>
    </row>
    <row r="17" ht="36" customHeight="1" spans="1:11">
      <c r="A17" s="38">
        <v>16</v>
      </c>
      <c r="B17" s="39">
        <v>43907</v>
      </c>
      <c r="D17" s="38" t="s">
        <v>411</v>
      </c>
      <c r="E17" s="38">
        <v>44662962</v>
      </c>
      <c r="F17" s="38" t="s">
        <v>412</v>
      </c>
      <c r="G17" s="40" t="s">
        <v>403</v>
      </c>
      <c r="H17" s="39">
        <v>44210</v>
      </c>
      <c r="I17" s="44">
        <v>47861</v>
      </c>
      <c r="J17" s="45" t="s">
        <v>408</v>
      </c>
      <c r="K17" s="40" t="str">
        <f ca="1" t="shared" si="0"/>
        <v>有效</v>
      </c>
    </row>
    <row r="18" ht="36" customHeight="1" spans="1:11">
      <c r="A18" s="38">
        <v>17</v>
      </c>
      <c r="B18" s="39">
        <v>43907</v>
      </c>
      <c r="D18" s="38" t="s">
        <v>411</v>
      </c>
      <c r="E18" s="38">
        <v>44678870</v>
      </c>
      <c r="F18" s="38" t="s">
        <v>402</v>
      </c>
      <c r="G18" s="40" t="s">
        <v>403</v>
      </c>
      <c r="H18" s="39">
        <v>44262</v>
      </c>
      <c r="J18" s="27" t="s">
        <v>400</v>
      </c>
      <c r="K18" s="40" t="str">
        <f ca="1" t="shared" si="0"/>
        <v>有效</v>
      </c>
    </row>
    <row r="19" ht="36" customHeight="1" spans="1:11">
      <c r="A19" s="38">
        <v>18</v>
      </c>
      <c r="B19" s="39">
        <v>43404</v>
      </c>
      <c r="D19" s="38" t="s">
        <v>413</v>
      </c>
      <c r="E19" s="38">
        <v>34391740</v>
      </c>
      <c r="F19" s="38" t="s">
        <v>405</v>
      </c>
      <c r="G19" s="40" t="s">
        <v>403</v>
      </c>
      <c r="H19" s="39">
        <v>43653</v>
      </c>
      <c r="I19" s="44">
        <v>47305</v>
      </c>
      <c r="J19" s="45" t="s">
        <v>408</v>
      </c>
      <c r="K19" s="40" t="str">
        <f ca="1" t="shared" si="0"/>
        <v>有效</v>
      </c>
    </row>
    <row r="20" ht="36" customHeight="1" spans="1:11">
      <c r="A20" s="38">
        <v>19</v>
      </c>
      <c r="B20" s="39">
        <v>43404</v>
      </c>
      <c r="D20" s="38" t="s">
        <v>413</v>
      </c>
      <c r="E20" s="38">
        <v>34386186</v>
      </c>
      <c r="F20" s="38" t="s">
        <v>398</v>
      </c>
      <c r="G20" s="40" t="s">
        <v>403</v>
      </c>
      <c r="H20" s="39">
        <v>43653</v>
      </c>
      <c r="I20" s="44">
        <v>47305</v>
      </c>
      <c r="J20" s="45" t="s">
        <v>408</v>
      </c>
      <c r="K20" s="40" t="str">
        <f ca="1" t="shared" si="0"/>
        <v>有效</v>
      </c>
    </row>
    <row r="21" ht="36" hidden="1" customHeight="1" spans="1:11">
      <c r="A21" s="38">
        <v>20</v>
      </c>
      <c r="B21" s="39">
        <v>43404</v>
      </c>
      <c r="D21" s="38" t="s">
        <v>413</v>
      </c>
      <c r="E21" s="38">
        <v>34380306</v>
      </c>
      <c r="F21" s="38" t="s">
        <v>412</v>
      </c>
      <c r="G21" s="40" t="s">
        <v>409</v>
      </c>
      <c r="H21" s="39" t="s">
        <v>76</v>
      </c>
      <c r="J21" s="38" t="s">
        <v>400</v>
      </c>
      <c r="K21" s="40" t="str">
        <f ca="1" t="shared" si="0"/>
        <v>失效</v>
      </c>
    </row>
    <row r="22" ht="36" customHeight="1" spans="1:11">
      <c r="A22" s="38">
        <v>21</v>
      </c>
      <c r="B22" s="39">
        <v>43404</v>
      </c>
      <c r="D22" s="38" t="s">
        <v>413</v>
      </c>
      <c r="E22" s="38">
        <v>34393382</v>
      </c>
      <c r="F22" s="38" t="s">
        <v>402</v>
      </c>
      <c r="G22" s="40" t="s">
        <v>403</v>
      </c>
      <c r="H22" s="39">
        <v>44010</v>
      </c>
      <c r="I22" s="44">
        <v>47661</v>
      </c>
      <c r="J22" s="45" t="s">
        <v>408</v>
      </c>
      <c r="K22" s="40" t="str">
        <f ca="1" t="shared" si="0"/>
        <v>有效</v>
      </c>
    </row>
    <row r="23" ht="36" customHeight="1" spans="1:11">
      <c r="A23" s="38">
        <v>22</v>
      </c>
      <c r="B23" s="39">
        <v>43404</v>
      </c>
      <c r="D23" s="38" t="s">
        <v>413</v>
      </c>
      <c r="E23" s="38">
        <v>34393727</v>
      </c>
      <c r="F23" s="38" t="s">
        <v>406</v>
      </c>
      <c r="G23" s="40" t="s">
        <v>403</v>
      </c>
      <c r="H23" s="39">
        <v>43653</v>
      </c>
      <c r="I23" s="44">
        <v>47305</v>
      </c>
      <c r="J23" s="45" t="s">
        <v>408</v>
      </c>
      <c r="K23" s="40" t="str">
        <f ca="1" t="shared" si="0"/>
        <v>有效</v>
      </c>
    </row>
  </sheetData>
  <autoFilter ref="A1:K23">
    <filterColumn colId="10">
      <customFilters>
        <customFilter operator="equal" val="有效"/>
      </customFilters>
    </filterColumn>
    <extLst/>
  </autoFilter>
  <conditionalFormatting sqref="K$1:K$1048576">
    <cfRule type="containsText" dxfId="6" priority="1" operator="between" text="有效">
      <formula>NOT(ISERROR(SEARCH("有效",K1)))</formula>
    </cfRule>
  </conditionalFormatting>
  <conditionalFormatting sqref="A$1:K$1048576">
    <cfRule type="expression" dxfId="4" priority="2">
      <formula>$K1="失效"</formula>
    </cfRule>
  </conditionalFormatting>
  <hyperlinks>
    <hyperlink ref="A1" location="目录!A1" display="序号"/>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N10"/>
  <sheetViews>
    <sheetView workbookViewId="0">
      <pane ySplit="1" topLeftCell="A2" activePane="bottomLeft" state="frozen"/>
      <selection/>
      <selection pane="bottomLeft" activeCell="F15" sqref="F15"/>
    </sheetView>
  </sheetViews>
  <sheetFormatPr defaultColWidth="9" defaultRowHeight="11.5"/>
  <cols>
    <col min="1" max="1" width="6.26363636363636" style="20" customWidth="1"/>
    <col min="2" max="2" width="5.36363636363636" style="21" customWidth="1"/>
    <col min="3" max="3" width="12.3636363636364" style="20" customWidth="1"/>
    <col min="4" max="4" width="18.4545454545455" style="20" customWidth="1"/>
    <col min="5" max="5" width="16.9090909090909" style="20" customWidth="1"/>
    <col min="6" max="6" width="15.0909090909091" style="20" customWidth="1"/>
    <col min="7" max="7" width="12.0909090909091" style="20"/>
    <col min="8" max="8" width="9" style="20"/>
    <col min="9" max="10" width="15.2636363636364" style="22" customWidth="1"/>
    <col min="11" max="12" width="12.6363636363636" style="20" customWidth="1"/>
    <col min="13" max="13" width="18.7272727272727" style="20" customWidth="1"/>
    <col min="14" max="16384" width="9" style="20"/>
  </cols>
  <sheetData>
    <row r="1" ht="24" customHeight="1" spans="1:14">
      <c r="A1" s="23" t="s">
        <v>1</v>
      </c>
      <c r="B1" s="24" t="s">
        <v>414</v>
      </c>
      <c r="C1" s="25" t="s">
        <v>415</v>
      </c>
      <c r="D1" s="24" t="s">
        <v>49</v>
      </c>
      <c r="E1" s="24" t="s">
        <v>416</v>
      </c>
      <c r="F1" s="24" t="s">
        <v>417</v>
      </c>
      <c r="G1" s="24" t="s">
        <v>418</v>
      </c>
      <c r="H1" s="24" t="s">
        <v>419</v>
      </c>
      <c r="I1" s="32" t="s">
        <v>420</v>
      </c>
      <c r="J1" s="32" t="s">
        <v>421</v>
      </c>
      <c r="K1" s="24" t="s">
        <v>422</v>
      </c>
      <c r="L1" s="24" t="s">
        <v>423</v>
      </c>
      <c r="M1" s="24" t="s">
        <v>26</v>
      </c>
      <c r="N1" s="33" t="s">
        <v>27</v>
      </c>
    </row>
    <row r="2" ht="24" customHeight="1" spans="1:14">
      <c r="A2" s="26">
        <v>5</v>
      </c>
      <c r="B2" s="27" t="s">
        <v>424</v>
      </c>
      <c r="C2" s="28" t="s">
        <v>425</v>
      </c>
      <c r="D2" s="28" t="s">
        <v>426</v>
      </c>
      <c r="E2" s="29" t="s">
        <v>427</v>
      </c>
      <c r="F2" s="26" t="s">
        <v>48</v>
      </c>
      <c r="G2" s="30">
        <v>10</v>
      </c>
      <c r="H2" s="28" t="s">
        <v>424</v>
      </c>
      <c r="I2" s="34">
        <v>44847</v>
      </c>
      <c r="J2" s="34">
        <v>50326</v>
      </c>
      <c r="K2" s="28" t="s">
        <v>408</v>
      </c>
      <c r="L2" s="28" t="s">
        <v>428</v>
      </c>
      <c r="N2" s="35" t="str">
        <f ca="1">IF(J2="","有效",IF(J2-TODAY()&lt;0,"失效",IF(J2-TODAY()&gt;=20,"有效",IF(AND(J2-TODAY()&gt;0,J2-TODAY()&lt;20),"临期"))))</f>
        <v>有效</v>
      </c>
    </row>
    <row r="3" ht="24" customHeight="1" spans="1:14">
      <c r="A3" s="26">
        <v>7</v>
      </c>
      <c r="B3" s="27" t="s">
        <v>424</v>
      </c>
      <c r="C3" s="28" t="s">
        <v>425</v>
      </c>
      <c r="D3" s="28" t="s">
        <v>429</v>
      </c>
      <c r="E3" s="31" t="s">
        <v>430</v>
      </c>
      <c r="F3" s="26" t="s">
        <v>48</v>
      </c>
      <c r="G3" s="30">
        <v>2100.34</v>
      </c>
      <c r="H3" s="28" t="s">
        <v>424</v>
      </c>
      <c r="I3" s="34">
        <v>45240</v>
      </c>
      <c r="J3" s="34">
        <v>47066</v>
      </c>
      <c r="K3" s="28" t="s">
        <v>408</v>
      </c>
      <c r="L3" s="28" t="s">
        <v>428</v>
      </c>
      <c r="M3" s="36"/>
      <c r="N3" s="35" t="str">
        <f ca="1">IF(J3="","有效",IF(J3-TODAY()&lt;0,"失效",IF(J3-TODAY()&gt;=20,"有效",IF(AND(J3-TODAY()&gt;0,J3-TODAY()&lt;20),"临期"))))</f>
        <v>有效</v>
      </c>
    </row>
    <row r="4" ht="66" customHeight="1" spans="1:14">
      <c r="A4" s="26">
        <v>10</v>
      </c>
      <c r="B4" s="27" t="s">
        <v>431</v>
      </c>
      <c r="C4" s="28" t="s">
        <v>432</v>
      </c>
      <c r="D4" s="28" t="s">
        <v>433</v>
      </c>
      <c r="E4" s="29" t="s">
        <v>434</v>
      </c>
      <c r="F4" s="26" t="s">
        <v>435</v>
      </c>
      <c r="G4" s="26">
        <v>1</v>
      </c>
      <c r="H4" s="28" t="s">
        <v>436</v>
      </c>
      <c r="I4" s="34">
        <v>44764</v>
      </c>
      <c r="J4" s="34"/>
      <c r="K4" s="28" t="s">
        <v>408</v>
      </c>
      <c r="L4" s="28" t="s">
        <v>408</v>
      </c>
      <c r="M4" s="28" t="s">
        <v>437</v>
      </c>
      <c r="N4" s="35" t="str">
        <f ca="1" t="shared" ref="N4:N9" si="0">IF(J4="","有效",IF(J4-TODAY()&lt;0,"失效",IF(J4-TODAY()&gt;=20,"有效",IF(AND(J4-TODAY()&gt;0,J4-TODAY()&lt;20),"临期"))))</f>
        <v>有效</v>
      </c>
    </row>
    <row r="5" ht="24" customHeight="1" spans="1:14">
      <c r="A5" s="26">
        <v>11</v>
      </c>
      <c r="B5" s="27" t="s">
        <v>431</v>
      </c>
      <c r="C5" s="28" t="s">
        <v>432</v>
      </c>
      <c r="D5" s="26" t="s">
        <v>438</v>
      </c>
      <c r="E5" s="26" t="s">
        <v>439</v>
      </c>
      <c r="F5" s="26" t="s">
        <v>435</v>
      </c>
      <c r="G5" s="26">
        <v>1</v>
      </c>
      <c r="H5" s="28" t="s">
        <v>436</v>
      </c>
      <c r="I5" s="34">
        <v>44764</v>
      </c>
      <c r="J5" s="34"/>
      <c r="K5" s="28" t="s">
        <v>408</v>
      </c>
      <c r="L5" s="28" t="s">
        <v>408</v>
      </c>
      <c r="N5" s="35" t="str">
        <f ca="1" t="shared" si="0"/>
        <v>有效</v>
      </c>
    </row>
    <row r="6" ht="24" customHeight="1" spans="1:14">
      <c r="A6" s="26">
        <v>12</v>
      </c>
      <c r="B6" s="27" t="s">
        <v>431</v>
      </c>
      <c r="C6" s="28" t="s">
        <v>432</v>
      </c>
      <c r="D6" s="28" t="s">
        <v>440</v>
      </c>
      <c r="E6" s="26" t="s">
        <v>441</v>
      </c>
      <c r="F6" s="26" t="s">
        <v>435</v>
      </c>
      <c r="G6" s="26">
        <v>1</v>
      </c>
      <c r="H6" s="28" t="s">
        <v>436</v>
      </c>
      <c r="I6" s="34">
        <v>44621</v>
      </c>
      <c r="J6" s="34"/>
      <c r="K6" s="28" t="s">
        <v>408</v>
      </c>
      <c r="L6" s="28" t="s">
        <v>408</v>
      </c>
      <c r="N6" s="35" t="str">
        <f ca="1" t="shared" si="0"/>
        <v>有效</v>
      </c>
    </row>
    <row r="7" ht="24" customHeight="1" spans="1:14">
      <c r="A7" s="26">
        <v>13</v>
      </c>
      <c r="B7" s="27" t="s">
        <v>431</v>
      </c>
      <c r="C7" s="28" t="s">
        <v>432</v>
      </c>
      <c r="D7" s="28" t="s">
        <v>442</v>
      </c>
      <c r="E7" s="28" t="s">
        <v>443</v>
      </c>
      <c r="F7" s="28" t="s">
        <v>444</v>
      </c>
      <c r="G7" s="30">
        <v>50</v>
      </c>
      <c r="H7" s="28" t="s">
        <v>436</v>
      </c>
      <c r="I7" s="34">
        <v>44804</v>
      </c>
      <c r="J7" s="34"/>
      <c r="K7" s="28" t="s">
        <v>408</v>
      </c>
      <c r="L7" s="28" t="s">
        <v>408</v>
      </c>
      <c r="N7" s="35" t="str">
        <f ca="1" t="shared" si="0"/>
        <v>有效</v>
      </c>
    </row>
    <row r="8" ht="24" customHeight="1" spans="1:14">
      <c r="A8" s="26">
        <v>14</v>
      </c>
      <c r="B8" s="27" t="s">
        <v>431</v>
      </c>
      <c r="C8" s="28" t="s">
        <v>432</v>
      </c>
      <c r="D8" s="28" t="s">
        <v>445</v>
      </c>
      <c r="E8" s="26" t="s">
        <v>446</v>
      </c>
      <c r="F8" s="28" t="s">
        <v>447</v>
      </c>
      <c r="G8" s="26">
        <v>1</v>
      </c>
      <c r="H8" s="28" t="s">
        <v>436</v>
      </c>
      <c r="I8" s="34">
        <v>44810</v>
      </c>
      <c r="J8" s="34"/>
      <c r="K8" s="28" t="s">
        <v>408</v>
      </c>
      <c r="L8" s="28" t="s">
        <v>408</v>
      </c>
      <c r="N8" s="35" t="str">
        <f ca="1" t="shared" si="0"/>
        <v>有效</v>
      </c>
    </row>
    <row r="9" ht="24" customHeight="1" spans="1:14">
      <c r="A9" s="26">
        <v>15</v>
      </c>
      <c r="B9" s="27" t="s">
        <v>152</v>
      </c>
      <c r="C9" s="28" t="s">
        <v>432</v>
      </c>
      <c r="D9" s="28" t="s">
        <v>448</v>
      </c>
      <c r="E9" s="28" t="s">
        <v>449</v>
      </c>
      <c r="F9" s="28" t="s">
        <v>450</v>
      </c>
      <c r="G9" s="26">
        <v>1</v>
      </c>
      <c r="H9" s="28" t="s">
        <v>449</v>
      </c>
      <c r="I9" s="34" t="s">
        <v>451</v>
      </c>
      <c r="J9" s="34"/>
      <c r="K9" s="28" t="s">
        <v>428</v>
      </c>
      <c r="L9" s="28" t="s">
        <v>428</v>
      </c>
      <c r="N9" s="35" t="str">
        <f ca="1" t="shared" si="0"/>
        <v>有效</v>
      </c>
    </row>
    <row r="10" ht="24" customHeight="1" spans="1:14">
      <c r="A10" s="26"/>
      <c r="B10" s="27"/>
      <c r="C10" s="28"/>
      <c r="D10" s="28"/>
      <c r="E10" s="28"/>
      <c r="F10" s="28"/>
      <c r="G10" s="26"/>
      <c r="H10" s="28"/>
      <c r="I10" s="34"/>
      <c r="J10" s="34"/>
      <c r="K10" s="28"/>
      <c r="L10" s="28"/>
      <c r="N10" s="35"/>
    </row>
  </sheetData>
  <autoFilter ref="A1:M9">
    <extLst/>
  </autoFilter>
  <conditionalFormatting sqref="B3:N3">
    <cfRule type="expression" dxfId="4" priority="17">
      <formula>$N3="失效"</formula>
    </cfRule>
  </conditionalFormatting>
  <conditionalFormatting sqref="M4">
    <cfRule type="expression" dxfId="4" priority="1">
      <formula>$H4="失效"</formula>
    </cfRule>
  </conditionalFormatting>
  <conditionalFormatting sqref="N4">
    <cfRule type="expression" dxfId="4" priority="10">
      <formula>$N4="失效"</formula>
    </cfRule>
  </conditionalFormatting>
  <conditionalFormatting sqref="N$1:N$1048576">
    <cfRule type="containsText" dxfId="3" priority="9" operator="between" text="临期">
      <formula>NOT(ISERROR(SEARCH("临期",N1)))</formula>
    </cfRule>
  </conditionalFormatting>
  <conditionalFormatting sqref="A1:N2">
    <cfRule type="expression" dxfId="4" priority="8">
      <formula>$N1="失效"</formula>
    </cfRule>
  </conditionalFormatting>
  <conditionalFormatting sqref="A3:A9 B4:L4 A10:N1048576">
    <cfRule type="expression" dxfId="4" priority="19">
      <formula>$N3="失效"</formula>
    </cfRule>
  </conditionalFormatting>
  <conditionalFormatting sqref="B5:N9">
    <cfRule type="expression" dxfId="4" priority="14">
      <formula>$N5="失效"</formula>
    </cfRule>
  </conditionalFormatting>
  <dataValidations count="1">
    <dataValidation type="list" allowBlank="1" showInputMessage="1" showErrorMessage="1" sqref="B2 B3 B4:B1048576">
      <formula1>"租赁,采购,自建"</formula1>
    </dataValidation>
  </dataValidations>
  <hyperlinks>
    <hyperlink ref="A1" location="目录!A1" display="序号"/>
  </hyperlink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abSelected="1" workbookViewId="0">
      <pane ySplit="1" topLeftCell="A2" activePane="bottomLeft" state="frozen"/>
      <selection/>
      <selection pane="bottomLeft" activeCell="E2" sqref="E2"/>
    </sheetView>
  </sheetViews>
  <sheetFormatPr defaultColWidth="9" defaultRowHeight="14" outlineLevelRow="5"/>
  <cols>
    <col min="1" max="1" width="4.09090909090909" style="1" customWidth="1"/>
    <col min="2" max="2" width="14.6363636363636" style="2" customWidth="1"/>
    <col min="3" max="3" width="9" style="2"/>
    <col min="4" max="4" width="13.9090909090909" style="2" customWidth="1"/>
    <col min="5" max="5" width="57.9090909090909" style="2" customWidth="1"/>
    <col min="6" max="6" width="10.7272727272727" style="2" customWidth="1"/>
    <col min="7" max="7" width="10.3636363636364" style="2"/>
    <col min="8" max="8" width="24.2636363636364" style="2" customWidth="1"/>
    <col min="9" max="9" width="14" style="2" customWidth="1"/>
    <col min="10" max="10" width="9" style="2"/>
    <col min="11" max="11" width="14" style="2" customWidth="1"/>
    <col min="12" max="12" width="15.0909090909091" style="2" customWidth="1"/>
    <col min="13" max="13" width="9.63636363636364" style="2"/>
    <col min="14" max="16384" width="9" style="2"/>
  </cols>
  <sheetData>
    <row r="1" ht="27.75" spans="1:15">
      <c r="A1" s="3" t="s">
        <v>1</v>
      </c>
      <c r="B1" s="3" t="s">
        <v>452</v>
      </c>
      <c r="C1" s="3" t="s">
        <v>453</v>
      </c>
      <c r="D1" s="3" t="s">
        <v>454</v>
      </c>
      <c r="E1" s="3" t="s">
        <v>455</v>
      </c>
      <c r="F1" s="3" t="s">
        <v>53</v>
      </c>
      <c r="G1" s="4" t="s">
        <v>456</v>
      </c>
      <c r="H1" s="5" t="s">
        <v>457</v>
      </c>
      <c r="I1" s="4" t="s">
        <v>458</v>
      </c>
      <c r="J1" s="5" t="s">
        <v>459</v>
      </c>
      <c r="K1" s="5" t="s">
        <v>460</v>
      </c>
      <c r="L1" s="5" t="s">
        <v>461</v>
      </c>
      <c r="M1" s="5" t="s">
        <v>462</v>
      </c>
      <c r="N1" s="4" t="s">
        <v>463</v>
      </c>
      <c r="O1" s="16" t="s">
        <v>284</v>
      </c>
    </row>
    <row r="2" ht="284.25" spans="1:14">
      <c r="A2" s="6">
        <v>1</v>
      </c>
      <c r="B2" s="7" t="s">
        <v>464</v>
      </c>
      <c r="C2" s="8" t="s">
        <v>465</v>
      </c>
      <c r="D2" s="7" t="s">
        <v>466</v>
      </c>
      <c r="E2" s="9" t="s">
        <v>467</v>
      </c>
      <c r="F2" s="10">
        <v>46008</v>
      </c>
      <c r="G2" s="7" t="s">
        <v>468</v>
      </c>
      <c r="H2" s="8" t="s">
        <v>469</v>
      </c>
      <c r="I2" s="13" t="s">
        <v>129</v>
      </c>
      <c r="J2" s="13" t="s">
        <v>470</v>
      </c>
      <c r="K2" s="7" t="s">
        <v>471</v>
      </c>
      <c r="L2" s="13" t="s">
        <v>472</v>
      </c>
      <c r="M2" s="11">
        <v>46045</v>
      </c>
      <c r="N2" s="7" t="s">
        <v>473</v>
      </c>
    </row>
    <row r="3" ht="238.75" spans="1:14">
      <c r="A3" s="6">
        <v>2</v>
      </c>
      <c r="B3" s="7" t="s">
        <v>474</v>
      </c>
      <c r="C3" s="8" t="s">
        <v>465</v>
      </c>
      <c r="D3" s="7" t="s">
        <v>475</v>
      </c>
      <c r="E3" s="2" t="s">
        <v>476</v>
      </c>
      <c r="F3" s="10">
        <v>46008</v>
      </c>
      <c r="G3" s="11">
        <v>46113</v>
      </c>
      <c r="H3" s="8" t="s">
        <v>477</v>
      </c>
      <c r="I3" s="13" t="s">
        <v>129</v>
      </c>
      <c r="J3" s="13" t="s">
        <v>470</v>
      </c>
      <c r="K3" s="7" t="s">
        <v>471</v>
      </c>
      <c r="L3" s="2" t="s">
        <v>472</v>
      </c>
      <c r="M3" s="11">
        <v>46045</v>
      </c>
      <c r="N3" s="17" t="s">
        <v>478</v>
      </c>
    </row>
    <row r="4" ht="182.75" spans="1:12">
      <c r="A4" s="6">
        <v>3</v>
      </c>
      <c r="B4" s="7" t="s">
        <v>479</v>
      </c>
      <c r="C4" s="8" t="s">
        <v>480</v>
      </c>
      <c r="D4" s="7" t="s">
        <v>481</v>
      </c>
      <c r="F4" s="11">
        <v>45549</v>
      </c>
      <c r="G4" s="12">
        <v>45566</v>
      </c>
      <c r="H4" s="2" t="s">
        <v>482</v>
      </c>
      <c r="J4" s="18" t="s">
        <v>483</v>
      </c>
      <c r="K4" s="19" t="s">
        <v>484</v>
      </c>
      <c r="L4" s="2" t="s">
        <v>485</v>
      </c>
    </row>
    <row r="5" ht="108.75" spans="1:12">
      <c r="A5" s="6">
        <v>4</v>
      </c>
      <c r="B5" s="7" t="s">
        <v>486</v>
      </c>
      <c r="C5" s="8" t="s">
        <v>480</v>
      </c>
      <c r="D5" s="8" t="s">
        <v>487</v>
      </c>
      <c r="E5" s="2" t="s">
        <v>488</v>
      </c>
      <c r="F5" s="11">
        <v>45549</v>
      </c>
      <c r="G5" s="12">
        <v>45566</v>
      </c>
      <c r="H5" s="13" t="s">
        <v>489</v>
      </c>
      <c r="I5" s="17"/>
      <c r="J5" s="13" t="s">
        <v>483</v>
      </c>
      <c r="K5" s="17" t="s">
        <v>484</v>
      </c>
      <c r="L5" s="2" t="s">
        <v>485</v>
      </c>
    </row>
    <row r="6" ht="54.75" spans="1:15">
      <c r="A6" s="6">
        <v>5</v>
      </c>
      <c r="B6" s="14" t="s">
        <v>490</v>
      </c>
      <c r="C6" s="15" t="s">
        <v>491</v>
      </c>
      <c r="D6" s="14" t="s">
        <v>492</v>
      </c>
      <c r="E6" s="13" t="s">
        <v>493</v>
      </c>
      <c r="F6" s="11">
        <v>45366</v>
      </c>
      <c r="H6" s="13" t="s">
        <v>494</v>
      </c>
      <c r="O6" s="2" t="s">
        <v>495</v>
      </c>
    </row>
  </sheetData>
  <hyperlinks>
    <hyperlink ref="J2" r:id="rId1" display="中国通信标准化协会" tooltip="https://www.qcc.com/firm/s36bc291ae6a652e902cd1ee50ac4ec7.html"/>
    <hyperlink ref="J3" r:id="rId1" display="中国通信标准化协会" tooltip="https://www.qcc.com/firm/s36bc291ae6a652e902cd1ee50ac4ec7.html"/>
    <hyperlink ref="E6" r:id="rId2" display="广东世炬网络科技股份有限公司" tooltip="https://www.qcc.com/firm/662f2988174bd3593bdaf3959e3cfcd7.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目录</vt:lpstr>
      <vt:lpstr>1、基础资质</vt:lpstr>
      <vt:lpstr>2、荣誉、奖项证书</vt:lpstr>
      <vt:lpstr>5、体系认证</vt:lpstr>
      <vt:lpstr>6、产品认证</vt:lpstr>
      <vt:lpstr>7、商标证书</vt:lpstr>
      <vt:lpstr>8、公司资产</vt:lpstr>
      <vt:lpstr>9、标准信息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katherine</cp:lastModifiedBy>
  <dcterms:created xsi:type="dcterms:W3CDTF">2023-04-23T06:41:00Z</dcterms:created>
  <dcterms:modified xsi:type="dcterms:W3CDTF">2026-06-01T08:39:12Z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FF13EF7D77FB458E85EB1BA0F8635BE1_13</vt:lpwstr>
  </property>
  <property fmtid="{D5CDD505-2E9C-101B-9397-08002B2CF9AE}" pid="3" name="KSOProductBuildVer">
    <vt:lpwstr>2052-12.1.0.16120</vt:lpwstr>
  </property>
  <property fmtid="{D5CDD505-2E9C-101B-9397-08002B2CF9AE}" pid="4" name="CalculationRule">
    <vt:i4>0</vt:i4>
  </property>
</Properties>
</file>